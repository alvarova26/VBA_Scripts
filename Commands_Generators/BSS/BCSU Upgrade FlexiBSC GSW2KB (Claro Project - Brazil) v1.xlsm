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30" windowWidth="18780" windowHeight="8625" firstSheet="1" activeTab="2"/>
  </bookViews>
  <sheets>
    <sheet name="1 - Preparation" sheetId="8" r:id="rId1"/>
    <sheet name="2 - Physical Installation" sheetId="9" r:id="rId2"/>
    <sheet name="3 - BCSU Upgrade FlexiBSC" sheetId="12" r:id="rId3"/>
    <sheet name="4 - Test HW (ETs+BCSU)" sheetId="6" r:id="rId4"/>
    <sheet name="5 - Performing Loop Test" sheetId="10" r:id="rId5"/>
    <sheet name="6 - Finishing" sheetId="11" r:id="rId6"/>
  </sheets>
  <definedNames>
    <definedName name="_xlnm._FilterDatabase" localSheetId="2" hidden="1">'3 - BCSU Upgrade FlexiBSC'!$A:$A</definedName>
  </definedNames>
  <calcPr calcId="124519"/>
</workbook>
</file>

<file path=xl/calcChain.xml><?xml version="1.0" encoding="utf-8"?>
<calcChain xmlns="http://schemas.openxmlformats.org/spreadsheetml/2006/main">
  <c r="J25" i="12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24"/>
  <c r="J23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4"/>
  <c r="H75"/>
  <c r="H76"/>
  <c r="H77"/>
  <c r="H78"/>
  <c r="H79"/>
  <c r="H80"/>
  <c r="H82"/>
  <c r="H83"/>
  <c r="H84"/>
  <c r="H85"/>
  <c r="H86"/>
  <c r="H87"/>
  <c r="H88"/>
  <c r="H90"/>
  <c r="H91"/>
  <c r="H92"/>
  <c r="H93"/>
  <c r="H94"/>
  <c r="H95"/>
  <c r="H96"/>
  <c r="H98"/>
  <c r="H99"/>
  <c r="H100"/>
  <c r="H101"/>
  <c r="H102"/>
  <c r="H103"/>
  <c r="H104"/>
  <c r="H25"/>
  <c r="H26"/>
  <c r="H24"/>
  <c r="H23"/>
  <c r="D12"/>
  <c r="D11"/>
  <c r="F20" i="6"/>
  <c r="XEX4" s="1"/>
  <c r="F19"/>
  <c r="F18"/>
  <c r="XEX2" s="1"/>
  <c r="G1"/>
  <c r="A10" s="1"/>
  <c r="D10" i="12"/>
  <c r="D9"/>
  <c r="D8"/>
  <c r="D7"/>
  <c r="D6"/>
  <c r="A55" i="8"/>
  <c r="A25" i="11"/>
  <c r="A21"/>
  <c r="A22"/>
  <c r="A59" i="8"/>
  <c r="A56"/>
  <c r="XEW2" i="6" l="1"/>
  <c r="XEY2" s="1"/>
  <c r="XEW4"/>
  <c r="XEY4" s="1"/>
  <c r="XEW3"/>
  <c r="XEX3"/>
  <c r="A19"/>
  <c r="A11"/>
  <c r="A23"/>
  <c r="A14"/>
  <c r="XFD1" l="1"/>
  <c r="XFB1"/>
  <c r="XEY3"/>
  <c r="XFC1" s="1"/>
  <c r="XFD4" l="1"/>
  <c r="C36" s="1"/>
  <c r="XFD6"/>
  <c r="C38" s="1"/>
  <c r="XFD8"/>
  <c r="C40" s="1"/>
  <c r="XFD10"/>
  <c r="C42" s="1"/>
  <c r="XFD12"/>
  <c r="C44" s="1"/>
  <c r="XFD14"/>
  <c r="C46" s="1"/>
  <c r="XFD16"/>
  <c r="C48" s="1"/>
  <c r="XFD2"/>
  <c r="C34" s="1"/>
  <c r="XFD3"/>
  <c r="C35" s="1"/>
  <c r="XFD5"/>
  <c r="C37" s="1"/>
  <c r="XFD7"/>
  <c r="C39" s="1"/>
  <c r="XFD9"/>
  <c r="C41" s="1"/>
  <c r="XFD11"/>
  <c r="C43" s="1"/>
  <c r="XFD13"/>
  <c r="C45" s="1"/>
  <c r="XFD15"/>
  <c r="C47" s="1"/>
  <c r="XFD17"/>
  <c r="C49" s="1"/>
  <c r="XFC4"/>
  <c r="C20" s="1"/>
  <c r="XFC6"/>
  <c r="C22" s="1"/>
  <c r="XFC8"/>
  <c r="C24" s="1"/>
  <c r="XFC10"/>
  <c r="C26" s="1"/>
  <c r="XFC12"/>
  <c r="C28" s="1"/>
  <c r="XFC14"/>
  <c r="C30" s="1"/>
  <c r="XFC16"/>
  <c r="C32" s="1"/>
  <c r="XFC2"/>
  <c r="C18" s="1"/>
  <c r="XFC3"/>
  <c r="C19" s="1"/>
  <c r="XFC5"/>
  <c r="C21" s="1"/>
  <c r="XFC7"/>
  <c r="C23" s="1"/>
  <c r="XFC9"/>
  <c r="C25" s="1"/>
  <c r="XFC11"/>
  <c r="C27" s="1"/>
  <c r="XFC13"/>
  <c r="C29" s="1"/>
  <c r="XFC15"/>
  <c r="C31" s="1"/>
  <c r="XFC17"/>
  <c r="C33" s="1"/>
  <c r="XFB4"/>
  <c r="C4" s="1"/>
  <c r="XFB6"/>
  <c r="C6" s="1"/>
  <c r="XFB8"/>
  <c r="C8" s="1"/>
  <c r="XFB10"/>
  <c r="C10" s="1"/>
  <c r="XFB12"/>
  <c r="C12" s="1"/>
  <c r="XFB14"/>
  <c r="C14" s="1"/>
  <c r="XFB16"/>
  <c r="C16" s="1"/>
  <c r="XFB2"/>
  <c r="C2" s="1"/>
  <c r="XFB3"/>
  <c r="C3" s="1"/>
  <c r="XFB5"/>
  <c r="C5" s="1"/>
  <c r="XFB7"/>
  <c r="C7" s="1"/>
  <c r="XFB9"/>
  <c r="C9" s="1"/>
  <c r="XFB11"/>
  <c r="C11" s="1"/>
  <c r="XFB13"/>
  <c r="C13" s="1"/>
  <c r="XFB15"/>
  <c r="C15" s="1"/>
  <c r="XFB17"/>
  <c r="C17" s="1"/>
</calcChain>
</file>

<file path=xl/sharedStrings.xml><?xml version="1.0" encoding="utf-8"?>
<sst xmlns="http://schemas.openxmlformats.org/spreadsheetml/2006/main" count="1642" uniqueCount="604">
  <si>
    <t>!****************************************************!</t>
  </si>
  <si>
    <t>## Step ///// Call to Claro NOC (*899, option "0") and inform the CRQ</t>
  </si>
  <si>
    <t>!number and start of the activity. /////</t>
  </si>
  <si>
    <t>## Step ///// Perform the "status full pre" before start the activity /////</t>
  </si>
  <si>
    <t>!20090831- Printar BSC full.txt</t>
  </si>
  <si>
    <t>## Licences ##</t>
  </si>
  <si>
    <t>## 5) Verify the active licences</t>
  </si>
  <si>
    <t>ZW7I:LIC,FULL;</t>
  </si>
  <si>
    <t>ZW7I:LIC,LIM;</t>
  </si>
  <si>
    <t>## View default directory (ASC_1_40_0)</t>
  </si>
  <si>
    <t>ZIWX::WS,DEF:LICENCE:%,%;</t>
  </si>
  <si>
    <t>## View root\LICENCE\ directory</t>
  </si>
  <si>
    <t>ZIWX::WS,NODEF:LICENCE,:%,%,;</t>
  </si>
  <si>
    <t>!ZIWD::WS,DEF:LICENCE,:E2006722,XML,:</t>
  </si>
  <si>
    <t>## 1) The licences must be copied to \LICENCE\ directory on the root.</t>
  </si>
  <si>
    <t>## 2) Afer the file transfer (FTT_ie5) verify the licences has been copied.</t>
  </si>
  <si>
    <t>## 3) Activate the licences</t>
  </si>
  <si>
    <t>ZW7L::ON;</t>
  </si>
  <si>
    <t xml:space="preserve">## 4) After activation, a licence is "moved" to the folder LICENCE of default directory </t>
  </si>
  <si>
    <t>## (ASC_1_40_1).</t>
  </si>
  <si>
    <t>## Step ///// Log in the BSC (MML session) and list active alarms (ZAHO,</t>
  </si>
  <si>
    <t>!ZEOL). If there is any alarm that may cause errors/disturbances during the</t>
  </si>
  <si>
    <t>!upgrade, then notify to NSN and stop the activity /////</t>
  </si>
  <si>
    <t>ZAHO;</t>
  </si>
  <si>
    <t>ZEOL;</t>
  </si>
  <si>
    <t>## Step ///// List actual state of the COMPuter units and ET (ZUSI) /////</t>
  </si>
  <si>
    <t>ZUSI:COMP;</t>
  </si>
  <si>
    <t>ZUSI:ET;</t>
  </si>
  <si>
    <t>## Step ///// List actual BCSU and ET hardware (ZWTI) /////</t>
  </si>
  <si>
    <t>ZWTI:J;</t>
  </si>
  <si>
    <t>ZWTI:C;</t>
  </si>
  <si>
    <t>ZWTI:U;</t>
  </si>
  <si>
    <t>ZWTI:P;</t>
  </si>
  <si>
    <t>ZWTI:R;</t>
  </si>
  <si>
    <t>ZWTI:O;</t>
  </si>
  <si>
    <t>ZWTI:CI;</t>
  </si>
  <si>
    <t>ZWTI:JI;</t>
  </si>
  <si>
    <t>ZWTI:PI;</t>
  </si>
  <si>
    <t>## Step ///// Delete old Fallback copies to have enoght free space /////</t>
  </si>
  <si>
    <t>## Step ///// Make a FallBack Copy of the actual running software (ZWKS) /////</t>
  </si>
  <si>
    <t>ZWKI;</t>
  </si>
  <si>
    <t>## Step ///// Perform MCMU switchover (ZUSC) and list alarms (ZAHO, ZEOL).</t>
  </si>
  <si>
    <t xml:space="preserve">!If there is any disturbance, then switch over to the original WO MCMU, notify </t>
  </si>
  <si>
    <t>!to NSN and stop the activity /////</t>
  </si>
  <si>
    <t>ZUSC:MCMU,1:SP;</t>
  </si>
  <si>
    <t>! Wait a few minutes</t>
  </si>
  <si>
    <t>## Step ///// Take pictures of the BSC (before adding new hardware) /////</t>
  </si>
  <si>
    <t>## 1) PREPARATION (just after entering to the site)</t>
  </si>
  <si>
    <t>## 2) PHYSICAL INSTALLATION</t>
  </si>
  <si>
    <t>## 3) CREATING THE NEW HARDWARE</t>
  </si>
  <si>
    <t>Cartridge/Slot/ET</t>
  </si>
  <si>
    <t>Power Supply</t>
  </si>
  <si>
    <t>SHIM4T</t>
  </si>
  <si>
    <t>Dummy</t>
  </si>
  <si>
    <t>Central Processing Unit</t>
  </si>
  <si>
    <t>PIU</t>
  </si>
  <si>
    <t>PSC6_A</t>
  </si>
  <si>
    <t>PCU2_D</t>
  </si>
  <si>
    <t>PCU</t>
  </si>
  <si>
    <t>BCSU</t>
  </si>
  <si>
    <t>Description</t>
  </si>
  <si>
    <t>PSC</t>
  </si>
  <si>
    <t>PSC6_B</t>
  </si>
  <si>
    <t>Install Cartridge ET4C?</t>
  </si>
  <si>
    <t>Yes</t>
  </si>
  <si>
    <t>No</t>
  </si>
  <si>
    <t>ET SE-NH</t>
  </si>
  <si>
    <t>ZUSI:ET,513;</t>
  </si>
  <si>
    <t>ZUSC:ET,513:SE;</t>
  </si>
  <si>
    <t>ZUSC:ET,513:TE;</t>
  </si>
  <si>
    <t>!TEST ET SE-NH!</t>
  </si>
  <si>
    <t>ZUDU:ET,513;</t>
  </si>
  <si>
    <t>@T 5</t>
  </si>
  <si>
    <t>ZUDH:ET,513;</t>
  </si>
  <si>
    <t>Commands Test ET SE-NH</t>
  </si>
  <si>
    <t>!20090831- Printar BSC full v2.txt</t>
  </si>
  <si>
    <t xml:space="preserve">## Step ///// List actual state of the COMPuter units (ZUSI). Write </t>
  </si>
  <si>
    <t>!down the current WO-EX MCMU and SP-EX BCSU. /////</t>
  </si>
  <si>
    <t>## Step ///// Change the new BCSU to TE-EX (ZUSC) /////</t>
  </si>
  <si>
    <t>## Step ///// Perform diagnostic of the new BCSU (ZUDU) /////</t>
  </si>
  <si>
    <t>## Step ///// Check the result of the diagnostic (ZUDH). If diagnostics</t>
  </si>
  <si>
    <t xml:space="preserve">!is NOT OK, then change the BCSU to SE-NH, fill in a failure report and </t>
  </si>
  <si>
    <t>!stop the activity at this step. Continue at leaving the site. /////</t>
  </si>
  <si>
    <t>## Step ///// Change the new BCSU to WO-EX (ZUSC). This BCSU will only</t>
  </si>
  <si>
    <t>!be mannaging the new ETs /////</t>
  </si>
  <si>
    <t xml:space="preserve">## Step ///// Change the new ETs to TE-EX (ZUSC). Perform diagnostic of </t>
  </si>
  <si>
    <t xml:space="preserve">!the new ETs (ZUDU).Check the result of the diagnostic (ZUDH). If a </t>
  </si>
  <si>
    <t>!diagnostic is NOT OK, then change the corresponding ETs to SE-NH, fill in</t>
  </si>
  <si>
    <t xml:space="preserve">!a failure report and continue with the activity. Change the new ETs to </t>
  </si>
  <si>
    <t>!SE-NH (ZUSC). This step to all ETs /////</t>
  </si>
  <si>
    <t>## 4) DIAGNOSING THE NEW HARDWARE</t>
  </si>
  <si>
    <t>BCSU =</t>
  </si>
  <si>
    <t>## Step ///// Perform MCMU switchover (ZUSC) and list alarms (ZAHO, ZEOL)</t>
  </si>
  <si>
    <t>!If there Is any disturbance, then switch over to the original WO MCMU,</t>
  </si>
  <si>
    <t>!notify to NSN and stop the activity.</t>
  </si>
  <si>
    <t>ZUSC:MCMU,0:SP;</t>
  </si>
  <si>
    <t>## Step ///// Change the new BCSU to TE-EX (ZUSC). The BCSU that was in</t>
  </si>
  <si>
    <t>!SP-EX will go to WO-EX managing the new ETs.Perform diagnostic of the new</t>
  </si>
  <si>
    <t>!BCSU (ZUDU) /////</t>
  </si>
  <si>
    <t>!********************** FIN 4 - Test HW (ETs+BCSU) **********************</t>
  </si>
  <si>
    <t>!is NOT OK, then change the BCSU to SE-NH, fill in a failure report and</t>
  </si>
  <si>
    <t>ZUSC:BCSU,0:SP;</t>
  </si>
  <si>
    <t>## Step ///// Change the new ETs to TE-EX (ZUSC). Perform diagnostic of</t>
  </si>
  <si>
    <t>!the new ETs (ZUDU).Check the result of the diagnostic (ZUDH). If a</t>
  </si>
  <si>
    <t>!a failure report and continue with the activity. Change the new ETs to</t>
  </si>
  <si>
    <t>## Step ///// Change the new ETs to TE-EX (ZUSC). For each ET change to WO-EX</t>
  </si>
  <si>
    <t>!state (ZUSC) and check alarms (ZAHO), at this moment the alarm "2900 INCOMING</t>
  </si>
  <si>
    <t>!SIGNAL MISSING" (probably also "2915 FAULT RATE MONITORING") will appear</t>
  </si>
  <si>
    <t xml:space="preserve">!for the new ET in WO-EX state, this is normal. Make a loop in the ET </t>
  </si>
  <si>
    <t>!position at DID/DSX and wait until alarms of the new ET disappear.</t>
  </si>
  <si>
    <t>!If not disappear, then check the PCM cable. Change the ET to SE-NH state</t>
  </si>
  <si>
    <t>!(ZUSC). Repeat the above three steps for all the other new ETs /////</t>
  </si>
  <si>
    <t>## 5) PERFORMING ET LOOP TEST</t>
  </si>
  <si>
    <t>ZYEF:ET,XXX;</t>
  </si>
  <si>
    <t>ZUSC:ET,XXX:SE;</t>
  </si>
  <si>
    <t>ZUSC:ET,XXX:TE;</t>
  </si>
  <si>
    <t>ZUSC:ET,XXX:WO;</t>
  </si>
  <si>
    <t>ZUSC:ET,XXX:BL;</t>
  </si>
  <si>
    <t>Y</t>
  </si>
  <si>
    <t>ZUSC:ET,XXX:TE,FCD;</t>
  </si>
  <si>
    <t>## Step ///// Perform the "status full post" before end the activity /////</t>
  </si>
  <si>
    <t>## Step ///// Take pictures of the BSC (with the new hardware) /////</t>
  </si>
  <si>
    <t>## Step ///// Call to NOC Claro (*899, option "0") and inform the CRQ</t>
  </si>
  <si>
    <t>!number and end of the activity.</t>
  </si>
  <si>
    <t>## 6) FINISHING</t>
  </si>
  <si>
    <t>Software Packages</t>
  </si>
  <si>
    <t>Activity</t>
  </si>
  <si>
    <t>Name</t>
  </si>
  <si>
    <t>Delete</t>
  </si>
  <si>
    <t>Create</t>
  </si>
  <si>
    <t>FBxxxxxx</t>
  </si>
  <si>
    <t>GSW2KB</t>
  </si>
  <si>
    <t>ET16</t>
  </si>
  <si>
    <t>CP</t>
  </si>
  <si>
    <t>Install Cartridge ETC-2?</t>
  </si>
  <si>
    <t>Install Cartridge ETC-3?</t>
  </si>
  <si>
    <t>Install Cartridge ETC-0?</t>
  </si>
  <si>
    <t>Install Cartridge ETC-1?</t>
  </si>
  <si>
    <t>Install Cartridge GTIC-0?</t>
  </si>
  <si>
    <t>Install Cartridge GTIC-1?</t>
  </si>
  <si>
    <t>FB050810</t>
  </si>
  <si>
    <t>FB100910</t>
  </si>
  <si>
    <t>FB090910</t>
  </si>
  <si>
    <t>! Test ET 1392</t>
  </si>
  <si>
    <t>ZUSI:ET,1392;</t>
  </si>
  <si>
    <t>ZUSC:ET,1392:SE;</t>
  </si>
  <si>
    <t>ZUSC:ET,1392:TE;</t>
  </si>
  <si>
    <t>ZUDU:ET,1392;</t>
  </si>
  <si>
    <t>ZUDH:ET,1392;</t>
  </si>
  <si>
    <t>! Test ET 1393</t>
  </si>
  <si>
    <t>ZUSI:ET,1393;</t>
  </si>
  <si>
    <t>ZUSC:ET,1393:SE;</t>
  </si>
  <si>
    <t>ZUSC:ET,1393:TE;</t>
  </si>
  <si>
    <t>ZUDU:ET,1393;</t>
  </si>
  <si>
    <t>ZUDH:ET,1393;</t>
  </si>
  <si>
    <t>! Test ET 1394</t>
  </si>
  <si>
    <t>ZUSI:ET,1394;</t>
  </si>
  <si>
    <t>ZUSC:ET,1394:SE;</t>
  </si>
  <si>
    <t>ZUSC:ET,1394:TE;</t>
  </si>
  <si>
    <t>ZUDU:ET,1394;</t>
  </si>
  <si>
    <t>ZUDH:ET,1394;</t>
  </si>
  <si>
    <t>! Test ET 1395</t>
  </si>
  <si>
    <t>ZUSI:ET,1395;</t>
  </si>
  <si>
    <t>ZUSC:ET,1395:SE;</t>
  </si>
  <si>
    <t>ZUSC:ET,1395:TE;</t>
  </si>
  <si>
    <t>ZUDU:ET,1395;</t>
  </si>
  <si>
    <t>ZUDH:ET,1395;</t>
  </si>
  <si>
    <t>! Test ET 1396</t>
  </si>
  <si>
    <t>ZUSI:ET,1396;</t>
  </si>
  <si>
    <t>ZUSC:ET,1396:SE;</t>
  </si>
  <si>
    <t>ZUSC:ET,1396:TE;</t>
  </si>
  <si>
    <t>ZUDU:ET,1396;</t>
  </si>
  <si>
    <t>ZUDH:ET,1396;</t>
  </si>
  <si>
    <t>! Test ET 1397</t>
  </si>
  <si>
    <t>ZUSI:ET,1397;</t>
  </si>
  <si>
    <t>ZUSC:ET,1397:SE;</t>
  </si>
  <si>
    <t>ZUSC:ET,1397:TE;</t>
  </si>
  <si>
    <t>ZUDU:ET,1397;</t>
  </si>
  <si>
    <t>ZUDH:ET,1397;</t>
  </si>
  <si>
    <t>! Test ET 1398</t>
  </si>
  <si>
    <t>ZUSI:ET,1398;</t>
  </si>
  <si>
    <t>ZUSC:ET,1398:SE;</t>
  </si>
  <si>
    <t>ZUSC:ET,1398:TE;</t>
  </si>
  <si>
    <t>ZUDU:ET,1398;</t>
  </si>
  <si>
    <t>ZUDH:ET,1398;</t>
  </si>
  <si>
    <t>! Test ET 1399</t>
  </si>
  <si>
    <t>ZUSI:ET,1399;</t>
  </si>
  <si>
    <t>ZUSC:ET,1399:SE;</t>
  </si>
  <si>
    <t>ZUSC:ET,1399:TE;</t>
  </si>
  <si>
    <t>ZUDU:ET,1399;</t>
  </si>
  <si>
    <t>ZUDH:ET,1399;</t>
  </si>
  <si>
    <t>! Test ET 1400</t>
  </si>
  <si>
    <t>ZUSI:ET,1400;</t>
  </si>
  <si>
    <t>ZUSC:ET,1400:SE;</t>
  </si>
  <si>
    <t>ZUSC:ET,1400:TE;</t>
  </si>
  <si>
    <t>ZUDU:ET,1400;</t>
  </si>
  <si>
    <t>ZUDH:ET,1400;</t>
  </si>
  <si>
    <t>! Test ET 1401</t>
  </si>
  <si>
    <t>ZUSI:ET,1401;</t>
  </si>
  <si>
    <t>ZUSC:ET,1401:SE;</t>
  </si>
  <si>
    <t>ZUSC:ET,1401:TE;</t>
  </si>
  <si>
    <t>ZUDU:ET,1401;</t>
  </si>
  <si>
    <t>ZUDH:ET,1401;</t>
  </si>
  <si>
    <t>! Test ET 1402</t>
  </si>
  <si>
    <t>ZUSI:ET,1402;</t>
  </si>
  <si>
    <t>ZUSC:ET,1402:SE;</t>
  </si>
  <si>
    <t>ZUSC:ET,1402:TE;</t>
  </si>
  <si>
    <t>ZUDU:ET,1402;</t>
  </si>
  <si>
    <t>ZUDH:ET,1402;</t>
  </si>
  <si>
    <t>! Test ET 1403</t>
  </si>
  <si>
    <t>ZUSI:ET,1403;</t>
  </si>
  <si>
    <t>ZUSC:ET,1403:SE;</t>
  </si>
  <si>
    <t>ZUSC:ET,1403:TE;</t>
  </si>
  <si>
    <t>ZUDU:ET,1403;</t>
  </si>
  <si>
    <t>ZUDH:ET,1403;</t>
  </si>
  <si>
    <t>! Test ET 1404</t>
  </si>
  <si>
    <t>ZUSI:ET,1404;</t>
  </si>
  <si>
    <t>ZUSC:ET,1404:SE;</t>
  </si>
  <si>
    <t>ZUSC:ET,1404:TE;</t>
  </si>
  <si>
    <t>ZUDU:ET,1404;</t>
  </si>
  <si>
    <t>ZUDH:ET,1404;</t>
  </si>
  <si>
    <t>! Test ET 1405</t>
  </si>
  <si>
    <t>ZUSI:ET,1405;</t>
  </si>
  <si>
    <t>ZUSC:ET,1405:SE;</t>
  </si>
  <si>
    <t>ZUSC:ET,1405:TE;</t>
  </si>
  <si>
    <t>ZUDU:ET,1405;</t>
  </si>
  <si>
    <t>ZUDH:ET,1405;</t>
  </si>
  <si>
    <t>! Test ET 1406</t>
  </si>
  <si>
    <t>ZUSI:ET,1406;</t>
  </si>
  <si>
    <t>ZUSC:ET,1406:SE;</t>
  </si>
  <si>
    <t>ZUSC:ET,1406:TE;</t>
  </si>
  <si>
    <t>ZUDU:ET,1406;</t>
  </si>
  <si>
    <t>ZUDH:ET,1406;</t>
  </si>
  <si>
    <t>! Test ET 1407</t>
  </si>
  <si>
    <t>ZUSI:ET,1407;</t>
  </si>
  <si>
    <t>ZUSC:ET,1407:SE;</t>
  </si>
  <si>
    <t>ZUSC:ET,1407:TE;</t>
  </si>
  <si>
    <t>ZUDU:ET,1407;</t>
  </si>
  <si>
    <t>ZUDH:ET,1407;</t>
  </si>
  <si>
    <t>! Test ET 1600</t>
  </si>
  <si>
    <t>ZUSI:ET,1600;</t>
  </si>
  <si>
    <t>ZUSC:ET,1600:SE;</t>
  </si>
  <si>
    <t>ZUSC:ET,1600:TE;</t>
  </si>
  <si>
    <t>ZUDU:ET,1600;</t>
  </si>
  <si>
    <t>ZUDH:ET,1600;</t>
  </si>
  <si>
    <t>! Test ET 1601</t>
  </si>
  <si>
    <t>ZUSI:ET,1601;</t>
  </si>
  <si>
    <t>ZUSC:ET,1601:SE;</t>
  </si>
  <si>
    <t>ZUSC:ET,1601:TE;</t>
  </si>
  <si>
    <t>ZUDU:ET,1601;</t>
  </si>
  <si>
    <t>ZUDH:ET,1601;</t>
  </si>
  <si>
    <t>! Test ET 1602</t>
  </si>
  <si>
    <t>ZUSI:ET,1602;</t>
  </si>
  <si>
    <t>ZUSC:ET,1602:SE;</t>
  </si>
  <si>
    <t>ZUSC:ET,1602:TE;</t>
  </si>
  <si>
    <t>ZUDU:ET,1602;</t>
  </si>
  <si>
    <t>ZUDH:ET,1602;</t>
  </si>
  <si>
    <t>! Test ET 1603</t>
  </si>
  <si>
    <t>ZUSI:ET,1603;</t>
  </si>
  <si>
    <t>ZUSC:ET,1603:SE;</t>
  </si>
  <si>
    <t>ZUSC:ET,1603:TE;</t>
  </si>
  <si>
    <t>ZUDU:ET,1603;</t>
  </si>
  <si>
    <t>ZUDH:ET,1603;</t>
  </si>
  <si>
    <t>! Test ET 1604</t>
  </si>
  <si>
    <t>ZUSI:ET,1604;</t>
  </si>
  <si>
    <t>ZUSC:ET,1604:SE;</t>
  </si>
  <si>
    <t>ZUSC:ET,1604:TE;</t>
  </si>
  <si>
    <t>ZUDU:ET,1604;</t>
  </si>
  <si>
    <t>ZUDH:ET,1604;</t>
  </si>
  <si>
    <t>! Test ET 1605</t>
  </si>
  <si>
    <t>ZUSI:ET,1605;</t>
  </si>
  <si>
    <t>ZUSC:ET,1605:SE;</t>
  </si>
  <si>
    <t>ZUSC:ET,1605:TE;</t>
  </si>
  <si>
    <t>ZUDU:ET,1605;</t>
  </si>
  <si>
    <t>ZUDH:ET,1605;</t>
  </si>
  <si>
    <t>! Test ET 1606</t>
  </si>
  <si>
    <t>ZUSI:ET,1606;</t>
  </si>
  <si>
    <t>ZUSC:ET,1606:SE;</t>
  </si>
  <si>
    <t>ZUSC:ET,1606:TE;</t>
  </si>
  <si>
    <t>ZUDU:ET,1606;</t>
  </si>
  <si>
    <t>ZUDH:ET,1606;</t>
  </si>
  <si>
    <t>! Test ET 1607</t>
  </si>
  <si>
    <t>ZUSI:ET,1607;</t>
  </si>
  <si>
    <t>ZUSC:ET,1607:SE;</t>
  </si>
  <si>
    <t>ZUSC:ET,1607:TE;</t>
  </si>
  <si>
    <t>ZUDU:ET,1607;</t>
  </si>
  <si>
    <t>ZUDH:ET,1607;</t>
  </si>
  <si>
    <t>! Test ET 1608</t>
  </si>
  <si>
    <t>ZUSI:ET,1608;</t>
  </si>
  <si>
    <t>ZUSC:ET,1608:SE;</t>
  </si>
  <si>
    <t>ZUSC:ET,1608:TE;</t>
  </si>
  <si>
    <t>ZUDU:ET,1608;</t>
  </si>
  <si>
    <t>ZUDH:ET,1608;</t>
  </si>
  <si>
    <t>! Test ET 1609</t>
  </si>
  <si>
    <t>ZUSI:ET,1609;</t>
  </si>
  <si>
    <t>ZUSC:ET,1609:SE;</t>
  </si>
  <si>
    <t>ZUSC:ET,1609:TE;</t>
  </si>
  <si>
    <t>ZUDU:ET,1609;</t>
  </si>
  <si>
    <t>ZUDH:ET,1609;</t>
  </si>
  <si>
    <t>! Test ET 1610</t>
  </si>
  <si>
    <t>ZUSI:ET,1610;</t>
  </si>
  <si>
    <t>ZUSC:ET,1610:SE;</t>
  </si>
  <si>
    <t>ZUSC:ET,1610:TE;</t>
  </si>
  <si>
    <t>ZUDU:ET,1610;</t>
  </si>
  <si>
    <t>ZUDH:ET,1610;</t>
  </si>
  <si>
    <t>! Test ET 1611</t>
  </si>
  <si>
    <t>ZUSI:ET,1611;</t>
  </si>
  <si>
    <t>ZUSC:ET,1611:SE;</t>
  </si>
  <si>
    <t>ZUSC:ET,1611:TE;</t>
  </si>
  <si>
    <t>ZUDU:ET,1611;</t>
  </si>
  <si>
    <t>ZUDH:ET,1611;</t>
  </si>
  <si>
    <t>! Test ET 1612</t>
  </si>
  <si>
    <t>ZUSI:ET,1612;</t>
  </si>
  <si>
    <t>ZUSC:ET,1612:SE;</t>
  </si>
  <si>
    <t>ZUSC:ET,1612:TE;</t>
  </si>
  <si>
    <t>ZUDU:ET,1612;</t>
  </si>
  <si>
    <t>ZUDH:ET,1612;</t>
  </si>
  <si>
    <t>! Test ET 1613</t>
  </si>
  <si>
    <t>ZUSI:ET,1613;</t>
  </si>
  <si>
    <t>ZUSC:ET,1613:SE;</t>
  </si>
  <si>
    <t>ZUSC:ET,1613:TE;</t>
  </si>
  <si>
    <t>ZUDU:ET,1613;</t>
  </si>
  <si>
    <t>ZUDH:ET,1613;</t>
  </si>
  <si>
    <t>! Test ET 1614</t>
  </si>
  <si>
    <t>ZUSI:ET,1614;</t>
  </si>
  <si>
    <t>ZUSC:ET,1614:SE;</t>
  </si>
  <si>
    <t>ZUSC:ET,1614:TE;</t>
  </si>
  <si>
    <t>ZUDU:ET,1614;</t>
  </si>
  <si>
    <t>ZUDH:ET,1614;</t>
  </si>
  <si>
    <t>! Test ET 1615</t>
  </si>
  <si>
    <t>ZUSI:ET,1615;</t>
  </si>
  <si>
    <t>ZUSC:ET,1615:SE;</t>
  </si>
  <si>
    <t>ZUSC:ET,1615:TE;</t>
  </si>
  <si>
    <t>ZUDU:ET,1615;</t>
  </si>
  <si>
    <t>ZUDH:ET,1615;</t>
  </si>
  <si>
    <t>! Test ET 1616</t>
  </si>
  <si>
    <t>ZUSI:ET,1616;</t>
  </si>
  <si>
    <t>ZUSC:ET,1616:SE;</t>
  </si>
  <si>
    <t>ZUSC:ET,1616:TE;</t>
  </si>
  <si>
    <t>ZUDU:ET,1616;</t>
  </si>
  <si>
    <t>ZUDH:ET,1616;</t>
  </si>
  <si>
    <t>! Test ET 1617</t>
  </si>
  <si>
    <t>ZUSI:ET,1617;</t>
  </si>
  <si>
    <t>ZUSC:ET,1617:SE;</t>
  </si>
  <si>
    <t>ZUSC:ET,1617:TE;</t>
  </si>
  <si>
    <t>ZUDU:ET,1617;</t>
  </si>
  <si>
    <t>ZUDH:ET,1617;</t>
  </si>
  <si>
    <t>! Test ET 1618</t>
  </si>
  <si>
    <t>ZUSI:ET,1618;</t>
  </si>
  <si>
    <t>ZUSC:ET,1618:SE;</t>
  </si>
  <si>
    <t>ZUSC:ET,1618:TE;</t>
  </si>
  <si>
    <t>ZUDU:ET,1618;</t>
  </si>
  <si>
    <t>ZUDH:ET,1618;</t>
  </si>
  <si>
    <t>! Test ET 1619</t>
  </si>
  <si>
    <t>ZUSI:ET,1619;</t>
  </si>
  <si>
    <t>ZUSC:ET,1619:SE;</t>
  </si>
  <si>
    <t>ZUSC:ET,1619:TE;</t>
  </si>
  <si>
    <t>ZUDU:ET,1619;</t>
  </si>
  <si>
    <t>ZUDH:ET,1619;</t>
  </si>
  <si>
    <t>! Test ET 1620</t>
  </si>
  <si>
    <t>ZUSI:ET,1620;</t>
  </si>
  <si>
    <t>ZUSC:ET,1620:SE;</t>
  </si>
  <si>
    <t>ZUSC:ET,1620:TE;</t>
  </si>
  <si>
    <t>ZUDU:ET,1620;</t>
  </si>
  <si>
    <t>ZUDH:ET,1620;</t>
  </si>
  <si>
    <t>! Test ET 1621</t>
  </si>
  <si>
    <t>ZUSI:ET,1621;</t>
  </si>
  <si>
    <t>ZUSC:ET,1621:SE;</t>
  </si>
  <si>
    <t>ZUSC:ET,1621:TE;</t>
  </si>
  <si>
    <t>ZUDU:ET,1621;</t>
  </si>
  <si>
    <t>ZUDH:ET,1621;</t>
  </si>
  <si>
    <t>! Test ET 1622</t>
  </si>
  <si>
    <t>ZUSI:ET,1622;</t>
  </si>
  <si>
    <t>ZUSC:ET,1622:SE;</t>
  </si>
  <si>
    <t>ZUSC:ET,1622:TE;</t>
  </si>
  <si>
    <t>ZUDU:ET,1622;</t>
  </si>
  <si>
    <t>ZUDH:ET,1622;</t>
  </si>
  <si>
    <t>! Test ET 1623</t>
  </si>
  <si>
    <t>ZUSI:ET,1623;</t>
  </si>
  <si>
    <t>ZUSC:ET,1623:SE;</t>
  </si>
  <si>
    <t>ZUSC:ET,1623:TE;</t>
  </si>
  <si>
    <t>ZUDU:ET,1623;</t>
  </si>
  <si>
    <t>ZUDH:ET,1623;</t>
  </si>
  <si>
    <t>! Test ET 1624</t>
  </si>
  <si>
    <t>ZUSI:ET,1624;</t>
  </si>
  <si>
    <t>ZUSC:ET,1624:SE;</t>
  </si>
  <si>
    <t>ZUSC:ET,1624:TE;</t>
  </si>
  <si>
    <t>ZUDU:ET,1624;</t>
  </si>
  <si>
    <t>ZUDH:ET,1624;</t>
  </si>
  <si>
    <t>! Test ET 1625</t>
  </si>
  <si>
    <t>ZUSI:ET,1625;</t>
  </si>
  <si>
    <t>ZUSC:ET,1625:SE;</t>
  </si>
  <si>
    <t>ZUSC:ET,1625:TE;</t>
  </si>
  <si>
    <t>ZUDU:ET,1625;</t>
  </si>
  <si>
    <t>ZUDH:ET,1625;</t>
  </si>
  <si>
    <t>! Test ET 1626</t>
  </si>
  <si>
    <t>ZUSI:ET,1626;</t>
  </si>
  <si>
    <t>ZUSC:ET,1626:SE;</t>
  </si>
  <si>
    <t>ZUSC:ET,1626:TE;</t>
  </si>
  <si>
    <t>ZUDU:ET,1626;</t>
  </si>
  <si>
    <t>ZUDH:ET,1626;</t>
  </si>
  <si>
    <t>! Test ET 1627</t>
  </si>
  <si>
    <t>ZUSI:ET,1627;</t>
  </si>
  <si>
    <t>ZUSC:ET,1627:SE;</t>
  </si>
  <si>
    <t>ZUSC:ET,1627:TE;</t>
  </si>
  <si>
    <t>ZUDU:ET,1627;</t>
  </si>
  <si>
    <t>ZUDH:ET,1627;</t>
  </si>
  <si>
    <t>! Test ET 1628</t>
  </si>
  <si>
    <t>ZUSI:ET,1628;</t>
  </si>
  <si>
    <t>ZUSC:ET,1628:SE;</t>
  </si>
  <si>
    <t>ZUSC:ET,1628:TE;</t>
  </si>
  <si>
    <t>ZUDU:ET,1628;</t>
  </si>
  <si>
    <t>ZUDH:ET,1628;</t>
  </si>
  <si>
    <t>! Test ET 1629</t>
  </si>
  <si>
    <t>ZUSI:ET,1629;</t>
  </si>
  <si>
    <t>ZUSC:ET,1629:SE;</t>
  </si>
  <si>
    <t>ZUSC:ET,1629:TE;</t>
  </si>
  <si>
    <t>ZUDU:ET,1629;</t>
  </si>
  <si>
    <t>ZUDH:ET,1629;</t>
  </si>
  <si>
    <t>! Test ET 1630</t>
  </si>
  <si>
    <t>ZUSI:ET,1630;</t>
  </si>
  <si>
    <t>ZUSC:ET,1630:SE;</t>
  </si>
  <si>
    <t>ZUSC:ET,1630:TE;</t>
  </si>
  <si>
    <t>ZUDU:ET,1630;</t>
  </si>
  <si>
    <t>ZUDH:ET,1630;</t>
  </si>
  <si>
    <t>! Test ET 1631</t>
  </si>
  <si>
    <t>ZUSI:ET,1631;</t>
  </si>
  <si>
    <t>ZUSC:ET,1631:SE;</t>
  </si>
  <si>
    <t>ZUSC:ET,1631:TE;</t>
  </si>
  <si>
    <t>ZUDU:ET,1631;</t>
  </si>
  <si>
    <t>ZUDH:ET,1631;</t>
  </si>
  <si>
    <t>ZUSC:BCSU,1:SP;</t>
  </si>
  <si>
    <t>ZUSC:BCSU,1:TE;</t>
  </si>
  <si>
    <t>ZUDU:BCSU,1;</t>
  </si>
  <si>
    <t>ZUDH:BCSU,1;</t>
  </si>
  <si>
    <t>PCU2_E</t>
  </si>
  <si>
    <t>AS7</t>
  </si>
  <si>
    <t>AS7_C</t>
  </si>
  <si>
    <t>AS7_D</t>
  </si>
  <si>
    <t>CP816_AC</t>
  </si>
  <si>
    <t>PSC6_D</t>
  </si>
  <si>
    <t>Cartridge/Slot/Track/ET</t>
  </si>
  <si>
    <t>ETC-0 Slot-2 Track-20 ET-256&amp;&amp;-271</t>
  </si>
  <si>
    <t>ETC-0 Slot-3 Track-21 ET-272&amp;&amp;-287</t>
  </si>
  <si>
    <t>ETC-0 Slot-4 Track-22 ET-288&amp;&amp;-303</t>
  </si>
  <si>
    <t>ETC-0 Slot-5 Track-23 ET-304&amp;&amp;-319</t>
  </si>
  <si>
    <t>ETC-0 Slot-6 Track-24 ET-320&amp;&amp;-335</t>
  </si>
  <si>
    <t>ETC-0 Slot-7 Track-25 ET-336&amp;&amp;-351</t>
  </si>
  <si>
    <t>ETC-0 Slot-8 Track-26 ET-352&amp;&amp;-367</t>
  </si>
  <si>
    <t>ETC-0 Slot-1 Track-19 ET-368&amp;&amp;-383</t>
  </si>
  <si>
    <t>ETC-1 Slot-3 Track-30 ET-512&amp;&amp;-527</t>
  </si>
  <si>
    <t>ETC-1 Slot-4 Track-31 ET-528&amp;&amp;-543</t>
  </si>
  <si>
    <t>ETC-1 Slot-5 Track-32 ET-544&amp;&amp;-559</t>
  </si>
  <si>
    <t>ETC-1 Slot-6 Track-33 ET-560&amp;&amp;-575</t>
  </si>
  <si>
    <t>ETC-1 Slot-7 Track-34 ET-576&amp;&amp;-591</t>
  </si>
  <si>
    <t>ETC-1 Slot-8 Track-35 ET-592&amp;&amp;-607</t>
  </si>
  <si>
    <t>ETC-1 Slot-9 Track-36 ET-608&amp;&amp;-623</t>
  </si>
  <si>
    <t>ETC-3 Slot-3 Track-30 ET-768&amp;&amp;-783</t>
  </si>
  <si>
    <t>ETC-3 Slot-4 Track-31 ET-784&amp;&amp;-799</t>
  </si>
  <si>
    <t>ETC-3 Slot-5 Track-32 ET-800&amp;&amp;-815</t>
  </si>
  <si>
    <t>ETC-3 Slot-6 Track-33 ET-816&amp;&amp;-831</t>
  </si>
  <si>
    <t>ETC-3 Slot-7 Track-34 ET-832&amp;&amp;-847</t>
  </si>
  <si>
    <t>ETC-3 Slot-8 Track-35 ET-848&amp;&amp;-863</t>
  </si>
  <si>
    <t>ETC-3 Slot-9 Track-36 ET-864&amp;&amp;-879</t>
  </si>
  <si>
    <t>ETC-2 Slot-2 Track-20 ET-1024&amp;&amp;-1039</t>
  </si>
  <si>
    <t>ETC-2 Slot-3 Track-21 ET-1040&amp;&amp;-1055</t>
  </si>
  <si>
    <t>ETC-2 Slot-4 Track-22 ET-1056&amp;&amp;-1071</t>
  </si>
  <si>
    <t>ETC-2 Slot-5 Track-23 ET-1072&amp;&amp;-1087</t>
  </si>
  <si>
    <t>ETC-2 Slot-6 Track-24 ET-1088&amp;&amp;-1103</t>
  </si>
  <si>
    <t>ETC-2 Slot-1 Track-19 ET-1136&amp;&amp;-1151</t>
  </si>
  <si>
    <t>GTIC-0 Slot-2 Track-11 ET-1280&amp;&amp;-1295</t>
  </si>
  <si>
    <t>GTIC-0 Slot-3 Track-12 ET-1296&amp;&amp;-1311</t>
  </si>
  <si>
    <t>GTIC-0 Slot-4 Track-13 ET-1312&amp;&amp;-1327</t>
  </si>
  <si>
    <t>GTIC-0 Slot-5 Track-14 ET-1328&amp;&amp;-1343</t>
  </si>
  <si>
    <t>GTIC-0 Slot-6 Track-15 ET-1344&amp;&amp;-1359</t>
  </si>
  <si>
    <t>GTIC-0 Slot-7 Track-16 ET-1360&amp;&amp;-1375</t>
  </si>
  <si>
    <t>GTIC-0 Slot-8 Track-17 ET-1376&amp;&amp;-1391</t>
  </si>
  <si>
    <t>GTIC-0 Slot-1 Track-10 ET-1392&amp;&amp;-1407</t>
  </si>
  <si>
    <t>GTIC-1 Slot-1 Track-10 ET-1920&amp;&amp;-1935</t>
  </si>
  <si>
    <t>GTIC-1 Slot-2 Track-11 ET-1936&amp;&amp;-1951</t>
  </si>
  <si>
    <t>GTIC-1 Slot-3 Track-12 ET-1952&amp;&amp;-1967</t>
  </si>
  <si>
    <t>GTIC-1 Slot-4 Track-13 ET-1968&amp;&amp;-1983</t>
  </si>
  <si>
    <t>GTIC-1 Slot-5 Track-14 ET-1984&amp;&amp;-1999</t>
  </si>
  <si>
    <t>GTIC-1 Slot-6 Track-15 ET-2000&amp;&amp;-2015</t>
  </si>
  <si>
    <t>GTIC-1 Slot-7 Track-16 ET-2016&amp;&amp;-2031</t>
  </si>
  <si>
    <t>GTIC-1 Slot-8 Track-17 ET-2032&amp;&amp;-2047</t>
  </si>
  <si>
    <t>Slot</t>
  </si>
  <si>
    <t>ETC-1 Slot-2 Track-29 ET-624&amp;&amp;-639</t>
  </si>
  <si>
    <t>ETC-3 Slot-2 Track-29 ET-880&amp;&amp;-895</t>
  </si>
  <si>
    <t>ETC-3 Slot-1 Track-28 ET-896&amp;&amp;-911</t>
  </si>
  <si>
    <t>ETC</t>
  </si>
  <si>
    <t>GTIC</t>
  </si>
  <si>
    <t>Only ET16 PIU</t>
  </si>
  <si>
    <t>Mixed ET16 and ETS2/ETIP PIU (Transsmition Protection)</t>
  </si>
  <si>
    <t>Mixed ET16 and ETS2/ETIP PIU (Equipment Protection)</t>
  </si>
  <si>
    <t>Only ETS2 PIU (Transsmition Protection)</t>
  </si>
  <si>
    <t>Only ETIP PIU (Transsmition Protection)</t>
  </si>
  <si>
    <t>Only ETS2 PIU (Equipment Protection)</t>
  </si>
  <si>
    <t>Only ETIP PIU (Equipment Protection)</t>
  </si>
  <si>
    <t>GTIC-0/1 All ET16</t>
  </si>
  <si>
    <t>ETC-0/1/2/3 All ET16</t>
  </si>
  <si>
    <t>GTIC-0 Slot-1 Track-10 ET-64&amp;&amp;-126 + ET-192&amp;&amp;-254</t>
  </si>
  <si>
    <t>GTIC-0 Slot-2 Track-11 ET-1536&amp;&amp;-1598 + ET-1600&amp;&amp;-1662</t>
  </si>
  <si>
    <t>GTIC-0 Slot-3 Track-12 ET-1792&amp;&amp;-1854 + ET-1856&amp;&amp;-1918</t>
  </si>
  <si>
    <t>GTIC-1 Slot-1 Track-10 ET-1920&amp;&amp;-1982 + ET-1984&amp;&amp;-2046</t>
  </si>
  <si>
    <t>GTIC-1 Slot-2 Track-11 ET-768&amp;&amp;-830 + ET-832&amp;&amp;-894</t>
  </si>
  <si>
    <t>GTIC-1 Slot-3 Track-12 ET-1024&amp;&amp;-1086 + ET-1088&amp;&amp;-1150</t>
  </si>
  <si>
    <t>GTIC-1 Slot-4 Track-13 ET-512&amp;&amp;-574 + ET-576&amp;&amp;-638</t>
  </si>
  <si>
    <t>GTIC-0 Slot-4 Track-13 ET-1280&amp;&amp;-1342 + ET-1344&amp;&amp;-1406</t>
  </si>
  <si>
    <t>GTIC-0 Slot-5 Track-14 ET-1920&amp;&amp;-1982 + ET-1984&amp;&amp;-2046</t>
  </si>
  <si>
    <t>GTIC-0 Slot-6 Track-15 ET-768&amp;&amp;-830 + ET-832&amp;&amp;-894</t>
  </si>
  <si>
    <t>GTIC-0 Slot-7 Track-16 ET-1024&amp;&amp;-1086 + ET-1088&amp;&amp;-1150</t>
  </si>
  <si>
    <t>GTIC-0 Slot-8 Track-17 ET-512&amp;&amp;-574 + ET-576&amp;&amp;-638</t>
  </si>
  <si>
    <t>GTIC-1 Slot-1 Track-10 Protection of GTIC-0</t>
  </si>
  <si>
    <t>GTIC-1 Slot-2 Track-11 Protection of GTIC-0</t>
  </si>
  <si>
    <t>GTIC-1 Slot-3 Track-12 Protection of GTIC-0</t>
  </si>
  <si>
    <t>GTIC-1 Slot-4 Track-13 Protection of GTIC-0</t>
  </si>
  <si>
    <t>GTIC-1 Slot-5 Track-14 Protection of GTIC-0</t>
  </si>
  <si>
    <t>GTIC-1 Slot-6 Track-15 Protection of GTIC-0</t>
  </si>
  <si>
    <t>GTIC-1 Slot-7 Track-16 Protection of GTIC-0</t>
  </si>
  <si>
    <t>GTIC-1 Slot-8 Track-17 Protection of GTIC-0</t>
  </si>
  <si>
    <t>GTIC-0 Only ETIP (Tx Prot.)</t>
  </si>
  <si>
    <t>GTIC-1 Only ETIP (Tx Prot.)</t>
  </si>
  <si>
    <t>GTIC-0 Only ETIP (Eq Prot.)</t>
  </si>
  <si>
    <t>GTIC-1 Only ETIP (Eq Prot.)</t>
  </si>
  <si>
    <t>GTIC-0 Only ETS2/ETIP (Eq Prot.)</t>
  </si>
  <si>
    <t>GTIC-1 Only ETS2/ETIP (Tx Prot.)</t>
  </si>
  <si>
    <t>GTIC-0 Only ETS2/ETIP (Tx Prot.)</t>
  </si>
  <si>
    <t>GTIC-1 Only ETS2/IP (Eq Prot.)</t>
  </si>
  <si>
    <t>GTIC-1 Mixed ETS2/ETIP + ET16 (Tx Prot.)</t>
  </si>
  <si>
    <t>ET2S</t>
  </si>
  <si>
    <t>ETS2</t>
  </si>
  <si>
    <t>ETIP</t>
  </si>
  <si>
    <t>GTIC-0/1 - Only with ET16 - Cartridge/Slot/Track/ET</t>
  </si>
  <si>
    <t>Choose the PIU that will be installed and connected to BCSU…</t>
  </si>
  <si>
    <t>PRSP?</t>
  </si>
  <si>
    <t>ETC-1 Slot-1 Track-28 ET-640&amp;&amp;-655</t>
  </si>
  <si>
    <t>ETC-2 Slot-7 Track-25 ET-1104&amp;&amp;-1119</t>
  </si>
  <si>
    <t>ETC-2 Slot-8 Track-26 ET-1120&amp;&amp;-1135</t>
  </si>
  <si>
    <t>GTIC-0/1 - Only with ETS2 (Tx Prot.) - Cartridge/Slot/Track/ET</t>
  </si>
  <si>
    <t>GTIC-0/1 - Only with ETS2 (Eq Prot.) - Cartridge/Slot/Track/ET</t>
  </si>
  <si>
    <t>GTIC-0/1 - Only with ETIP (Tx Prot.) - Cartridge/Slot/Track/ET</t>
  </si>
  <si>
    <t>GTIC-0/1 - Only with ETIP (Eq Prot.) - Cartridge/Slot/Track/ET</t>
  </si>
  <si>
    <t>ETC-0/1/2/3                           Only with ET16                           Cartridge/Slot/Track/ET</t>
  </si>
  <si>
    <t>!Install the BCSU-1 (WTC, WTU, WTP, WUC, UST).</t>
  </si>
  <si>
    <t>ZWTC:BC1C_B,1A4-0,:P1=1A4-0,AL=1A1-11-5,:;</t>
  </si>
  <si>
    <t>ZWTU:BCSU,1:1A4-0:MB=31;</t>
  </si>
  <si>
    <t>ZWTP:BCSU,1:PSC6_D,0,1:;</t>
  </si>
  <si>
    <t>ZWTP:BCSU,1:AS7_D,13,7::CCS7,8,416,TSL,0&amp;&amp;31,1:LAPD,8,418&amp;&amp;423,TSL,0&amp;&amp;31,1:LAPD,8,424&amp;&amp;431,TSL,0&amp;&amp;31,2::;</t>
  </si>
  <si>
    <t>ZWTP:BCSU,1:AS7_D,14,8::LAPD,8,400&amp;&amp;407,TSL,0&amp;&amp;31,1:LAPD,8,408&amp;&amp;415,TSL,0&amp;&amp;31,2::;</t>
  </si>
  <si>
    <t>ZWTP:BCSU,1:CP816_A,0,10:;</t>
  </si>
  <si>
    <t>ZWUC:BCSU,1:AS7_D,13;</t>
  </si>
  <si>
    <t>ZWUC:BCSU,1:AS7_D,14;</t>
  </si>
  <si>
    <t>ZWTP:BCSU,1:PCU2_E,4,6,::PCUDSP,8,448&amp;&amp;451,TSL,0&amp;&amp;31:PCUPPC,8,452&amp;&amp;455,TSL,0&amp;&amp;31:PCUDSP,8,456&amp;&amp;459,TSL,0&amp;&amp;31:;</t>
  </si>
  <si>
    <t>ZWUC:BCSU,1:PCU2_E,4;</t>
  </si>
  <si>
    <t>ZWTP:BCSU,1:PCU2_E,6,7,::PCUDSP,8,432&amp;&amp;435,TSL,0&amp;&amp;31:PCUPPC,8,436&amp;&amp;439,TSL,0&amp;&amp;31:PCUDSP,8,440&amp;&amp;443,TSL,0&amp;&amp;31:;</t>
  </si>
  <si>
    <t>ZWUC:BCSU,1:PCU2_E,6;</t>
  </si>
  <si>
    <t>ZUST:BCSU,1:S-PRSP;</t>
  </si>
  <si>
    <t>!Installing ETC &amp; GTIC cartridges (WTC).</t>
  </si>
  <si>
    <t>ZWTC:SGC1C_A,1A1-3,,:AL=1A1-11-12;</t>
  </si>
  <si>
    <t>ZWTC:SGC1C_A,1A2-3,,:AL=1A1-11-13;</t>
  </si>
  <si>
    <t>ZWTU:ET,368&amp;&amp;383:1A1-3;</t>
  </si>
  <si>
    <t>ZWTU:ET,256&amp;&amp;271:1A1-3;</t>
  </si>
  <si>
    <t>ZWTU:ET,272&amp;&amp;287:1A1-3;</t>
  </si>
  <si>
    <t>ZWTU:ET,288&amp;&amp;303:1A1-3;</t>
  </si>
  <si>
    <t>ZWTU:ET,304&amp;&amp;319:1A1-3;</t>
  </si>
  <si>
    <t>ZWTU:ET,320&amp;&amp;335:1A1-3;</t>
  </si>
  <si>
    <t>ZWTP:ET,368&amp;&amp;383:ET16,0,19,::ETT00,8,368&amp;&amp;383,TSL,0;</t>
  </si>
  <si>
    <t>ZWTP:ET,256&amp;&amp;271:ET16,0,20,::ETT00,8,256&amp;&amp;271,TSL,0;</t>
  </si>
  <si>
    <t>ZWTP:ET,272&amp;&amp;287:ET16,0,21,::ETT00,8,272&amp;&amp;287,TSL,0;</t>
  </si>
  <si>
    <t>ZWTP:ET,288&amp;&amp;303:ET16,0,22,::ETT00,8,288&amp;&amp;303,TSL,0;</t>
  </si>
  <si>
    <t>ZWTP:ET,304&amp;&amp;319:ET16,0,23,::ETT00,8,304&amp;&amp;319,TSL,0;</t>
  </si>
  <si>
    <t>ZWTP:ET,320&amp;&amp;335:ET16,0,24,::ETT00,8,320&amp;&amp;335,TSL,0;</t>
  </si>
  <si>
    <t>!Creating ET Units</t>
  </si>
  <si>
    <t>!Creating ET Plug in Units</t>
  </si>
  <si>
    <t>Index</t>
  </si>
  <si>
    <t>Index CMD</t>
  </si>
  <si>
    <t>Step</t>
  </si>
  <si>
    <t>Index CMD2</t>
  </si>
  <si>
    <t>ZWTU:ETIP,0:1A1-3;</t>
  </si>
  <si>
    <t>ZWTU:ET,64&amp;&amp;126:1A1-3:UNIT=ETIP,IND=0;</t>
  </si>
  <si>
    <t>ZWTU:ET,192&amp;&amp;254:1A1-3:UNIT=ETIP,IND=0;</t>
  </si>
  <si>
    <t>ZWTU:ETIP,2:1A1-3;</t>
  </si>
  <si>
    <t>ZWTU:ET,1536&amp;&amp;1598:1A1-3:UNIT=ETIP,IND=2,IF=0;</t>
  </si>
  <si>
    <t>ZWTU:ET,1600&amp;&amp;1662:1A1-3:UNIT=ETIP,IND=2;</t>
  </si>
  <si>
    <t>ZWTU:ETIP,16:1A2-3;</t>
  </si>
  <si>
    <t>ZWTU:ET,1920&amp;&amp;1982:1A2-3:UNIT=ETIP,IND=16;</t>
  </si>
  <si>
    <t>ZWTU:ET,1984&amp;&amp;2046:1A2-3:UNIT=ETIP,IND=16;</t>
  </si>
  <si>
    <t>ZWTU:ETIP,18:1A2-3;</t>
  </si>
  <si>
    <t>ZWTU:ET,768&amp;&amp;830:1A2-3:UNIT=ETIP,IND=18;</t>
  </si>
  <si>
    <t>ZWTU:ET,832&amp;&amp;894:1A2-3:UNIT=ETIP,IND=18;</t>
  </si>
  <si>
    <t>ZWTP:ETIP,0:ETIP1_A,0,10::LAPD,8,392,TSL,0&amp;&amp;3;</t>
  </si>
  <si>
    <t>ZWTP:ET,64&amp;&amp;126:ETIP1_A,0,10::ETT00,8,64&amp;&amp;126,TSL,0;</t>
  </si>
  <si>
    <t>ZWTP:ET,192&amp;&amp;254:ETIP1_A,0,10::ETT00,8,192&amp;&amp;254,TSL,0;</t>
  </si>
  <si>
    <t>ZWTP:ETIP,2:ETIP1_A,0,11::LAPD,8,392,TSL,16&amp;&amp;19;</t>
  </si>
  <si>
    <t>ZWTP:ET,1536&amp;&amp;1598:ETIP1_A,0,11::ETT00,8,1536&amp;&amp;1598,TSL,0:;</t>
  </si>
  <si>
    <t>ZWTP:ET,1600&amp;&amp;1662:ETIP1_A,0,11::ETT00,8,1600&amp;&amp;1662,TSL,0:;</t>
  </si>
  <si>
    <t>ZWTP:ETIP,16:ETIP1_A,0,10::LAPD,8,384,TSL,0&amp;&amp;3;</t>
  </si>
  <si>
    <t>ZWTP:ET,1920&amp;&amp;1982:ETIP1_A,0,10::ETT00,8,1920&amp;&amp;1982,TSL,0:;</t>
  </si>
  <si>
    <t>ZWTP:ET,1984&amp;&amp;2046:ETIP1_A,0,10::ETT00,8,1984&amp;&amp;2046,TSL,0:;</t>
  </si>
  <si>
    <t>ZWTP:ETIP,18:ETIP1_A,0,11::LAPD,8,384,TSL,16&amp;&amp;19;</t>
  </si>
  <si>
    <t>ZWTP:ET,768&amp;&amp;830:ETIP1_A,0,11::ETT00,8,768&amp;&amp;830,TSL,0:;</t>
  </si>
  <si>
    <t>ZWTP:ET,832&amp;&amp;894:ETIP1_A,0,11::ETT00,8,832&amp;&amp;894,TSL,0:;</t>
  </si>
  <si>
    <t>!Connecting ET to BCSU-1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</si>
</sst>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6"/>
      </bottom>
      <diagonal/>
    </border>
    <border>
      <left style="medium">
        <color indexed="64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 style="medium">
        <color indexed="64"/>
      </left>
      <right style="thin">
        <color rgb="FF92D050"/>
      </right>
      <top style="medium">
        <color indexed="64"/>
      </top>
      <bottom style="medium">
        <color indexed="64"/>
      </bottom>
      <diagonal/>
    </border>
    <border>
      <left style="thin">
        <color rgb="FF92D05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3" tint="0.59996337778862885"/>
      </right>
      <top style="medium">
        <color indexed="64"/>
      </top>
      <bottom style="medium">
        <color indexed="64"/>
      </bottom>
      <diagonal/>
    </border>
    <border>
      <left style="thin">
        <color theme="3" tint="0.59996337778862885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/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2" fillId="2" borderId="0" xfId="0" applyFont="1" applyFill="1" applyBorder="1"/>
    <xf numFmtId="0" fontId="2" fillId="2" borderId="0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 vertical="top"/>
    </xf>
    <xf numFmtId="0" fontId="2" fillId="2" borderId="0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16" xfId="0" applyFont="1" applyFill="1" applyBorder="1"/>
    <xf numFmtId="0" fontId="1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vertical="center"/>
    </xf>
    <xf numFmtId="0" fontId="0" fillId="2" borderId="17" xfId="0" applyFill="1" applyBorder="1"/>
    <xf numFmtId="0" fontId="0" fillId="2" borderId="1" xfId="0" applyFill="1" applyBorder="1" applyAlignment="1" applyProtection="1">
      <alignment horizontal="center"/>
    </xf>
    <xf numFmtId="0" fontId="0" fillId="2" borderId="18" xfId="0" applyFill="1" applyBorder="1"/>
    <xf numFmtId="0" fontId="0" fillId="2" borderId="19" xfId="0" applyFill="1" applyBorder="1"/>
    <xf numFmtId="0" fontId="0" fillId="2" borderId="9" xfId="0" applyFill="1" applyBorder="1" applyAlignment="1" applyProtection="1">
      <alignment horizontal="center"/>
      <protection locked="0"/>
    </xf>
    <xf numFmtId="0" fontId="0" fillId="2" borderId="20" xfId="0" applyFill="1" applyBorder="1"/>
    <xf numFmtId="49" fontId="0" fillId="2" borderId="0" xfId="0" applyNumberFormat="1" applyFill="1" applyBorder="1"/>
    <xf numFmtId="0" fontId="0" fillId="2" borderId="11" xfId="0" applyFill="1" applyBorder="1" applyAlignment="1" applyProtection="1">
      <alignment horizontal="center"/>
      <protection locked="0"/>
    </xf>
    <xf numFmtId="49" fontId="0" fillId="5" borderId="1" xfId="0" applyNumberFormat="1" applyFill="1" applyBorder="1"/>
    <xf numFmtId="49" fontId="0" fillId="5" borderId="21" xfId="0" applyNumberFormat="1" applyFill="1" applyBorder="1"/>
    <xf numFmtId="49" fontId="0" fillId="5" borderId="22" xfId="0" applyNumberFormat="1" applyFill="1" applyBorder="1"/>
    <xf numFmtId="49" fontId="0" fillId="5" borderId="23" xfId="0" applyNumberFormat="1" applyFill="1" applyBorder="1"/>
    <xf numFmtId="49" fontId="0" fillId="2" borderId="20" xfId="0" applyNumberFormat="1" applyFill="1" applyBorder="1"/>
    <xf numFmtId="49" fontId="0" fillId="2" borderId="18" xfId="0" applyNumberFormat="1" applyFill="1" applyBorder="1"/>
    <xf numFmtId="0" fontId="0" fillId="2" borderId="15" xfId="0" applyFill="1" applyBorder="1"/>
    <xf numFmtId="49" fontId="2" fillId="5" borderId="24" xfId="0" applyNumberFormat="1" applyFont="1" applyFill="1" applyBorder="1" applyAlignment="1">
      <alignment horizontal="right"/>
    </xf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0" fillId="0" borderId="18" xfId="0" applyFill="1" applyBorder="1"/>
    <xf numFmtId="0" fontId="0" fillId="4" borderId="27" xfId="0" applyFill="1" applyBorder="1" applyAlignment="1">
      <alignment horizontal="center" vertical="center"/>
    </xf>
    <xf numFmtId="0" fontId="0" fillId="0" borderId="29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0" fillId="2" borderId="13" xfId="0" applyFill="1" applyBorder="1" applyAlignment="1" applyProtection="1">
      <alignment horizontal="center"/>
      <protection locked="0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0" fontId="2" fillId="4" borderId="9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5" borderId="25" xfId="0" applyNumberFormat="1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vertical="center"/>
    </xf>
    <xf numFmtId="0" fontId="2" fillId="4" borderId="4" xfId="0" applyFont="1" applyFill="1" applyBorder="1" applyAlignment="1">
      <alignment vertical="center"/>
    </xf>
    <xf numFmtId="0" fontId="2" fillId="0" borderId="0" xfId="0" applyFont="1"/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vertical="center"/>
    </xf>
    <xf numFmtId="0" fontId="2" fillId="0" borderId="35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26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0" fillId="4" borderId="28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0" borderId="30" xfId="0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0" borderId="34" xfId="0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7"/>
  <dimension ref="A1:J99"/>
  <sheetViews>
    <sheetView workbookViewId="0"/>
  </sheetViews>
  <sheetFormatPr baseColWidth="10" defaultRowHeight="15"/>
  <cols>
    <col min="1" max="1" width="77" bestFit="1" customWidth="1"/>
  </cols>
  <sheetData>
    <row r="1" spans="1:10" ht="15.75" thickBot="1">
      <c r="A1" s="10" t="s">
        <v>0</v>
      </c>
      <c r="B1" s="1"/>
      <c r="C1" s="1"/>
      <c r="D1" s="1"/>
      <c r="E1" s="1"/>
      <c r="F1" s="1"/>
      <c r="G1" s="1"/>
      <c r="H1" s="1"/>
      <c r="I1" s="1"/>
      <c r="J1" s="1"/>
    </row>
    <row r="2" spans="1:10" ht="15.75" thickBot="1">
      <c r="A2" s="10" t="s">
        <v>47</v>
      </c>
      <c r="B2" s="1"/>
      <c r="C2" s="62" t="s">
        <v>125</v>
      </c>
      <c r="D2" s="63"/>
      <c r="E2" s="64"/>
      <c r="F2" s="1"/>
      <c r="G2" s="1"/>
      <c r="H2" s="1"/>
      <c r="I2" s="1"/>
      <c r="J2" s="1"/>
    </row>
    <row r="3" spans="1:10" ht="15.75" thickBot="1">
      <c r="A3" s="10" t="s">
        <v>0</v>
      </c>
      <c r="B3" s="1"/>
      <c r="C3" s="36" t="s">
        <v>126</v>
      </c>
      <c r="D3" s="65" t="s">
        <v>127</v>
      </c>
      <c r="E3" s="66"/>
      <c r="F3" s="1"/>
      <c r="G3" s="1"/>
      <c r="H3" s="1"/>
      <c r="I3" s="1"/>
      <c r="J3" s="1"/>
    </row>
    <row r="4" spans="1:10">
      <c r="A4" s="10"/>
      <c r="B4" s="1"/>
      <c r="C4" s="37" t="s">
        <v>128</v>
      </c>
      <c r="D4" s="67" t="s">
        <v>140</v>
      </c>
      <c r="E4" s="68"/>
      <c r="F4" s="1"/>
      <c r="G4" s="1"/>
      <c r="H4" s="1"/>
      <c r="I4" s="1"/>
      <c r="J4" s="1"/>
    </row>
    <row r="5" spans="1:10" ht="15.75" thickBot="1">
      <c r="A5" s="10" t="s">
        <v>1</v>
      </c>
      <c r="B5" s="1"/>
      <c r="C5" s="38" t="s">
        <v>129</v>
      </c>
      <c r="D5" s="69" t="s">
        <v>142</v>
      </c>
      <c r="E5" s="70"/>
      <c r="F5" s="1"/>
      <c r="G5" s="1"/>
      <c r="H5" s="1"/>
      <c r="I5" s="1"/>
      <c r="J5" s="1"/>
    </row>
    <row r="6" spans="1:10">
      <c r="A6" s="10" t="s">
        <v>2</v>
      </c>
      <c r="B6" s="1"/>
      <c r="C6" s="1"/>
      <c r="D6" s="1"/>
      <c r="E6" s="1"/>
      <c r="F6" s="1"/>
      <c r="G6" s="1"/>
      <c r="H6" s="1"/>
      <c r="I6" s="1"/>
      <c r="J6" s="1"/>
    </row>
    <row r="7" spans="1:10">
      <c r="A7" s="10"/>
      <c r="B7" s="1"/>
      <c r="C7" s="1"/>
      <c r="D7" s="1"/>
      <c r="E7" s="1"/>
      <c r="F7" s="1"/>
      <c r="G7" s="1"/>
      <c r="H7" s="1"/>
      <c r="I7" s="1"/>
      <c r="J7" s="1"/>
    </row>
    <row r="8" spans="1:10">
      <c r="A8" s="10" t="s">
        <v>3</v>
      </c>
      <c r="B8" s="1"/>
      <c r="C8" s="1"/>
      <c r="D8" s="1"/>
      <c r="E8" s="1"/>
      <c r="F8" s="1"/>
      <c r="G8" s="1"/>
      <c r="H8" s="1"/>
      <c r="I8" s="1"/>
      <c r="J8" s="1"/>
    </row>
    <row r="9" spans="1:10">
      <c r="A9" s="10" t="s">
        <v>75</v>
      </c>
      <c r="B9" s="1"/>
      <c r="C9" s="1"/>
      <c r="D9" s="1"/>
      <c r="E9" s="1"/>
      <c r="F9" s="1"/>
      <c r="G9" s="1"/>
      <c r="H9" s="1"/>
      <c r="I9" s="1"/>
      <c r="J9" s="1"/>
    </row>
    <row r="10" spans="1:10">
      <c r="A10" s="10"/>
      <c r="B10" s="1"/>
      <c r="C10" s="1"/>
      <c r="D10" s="1"/>
      <c r="E10" s="1"/>
      <c r="F10" s="1"/>
      <c r="G10" s="1"/>
      <c r="H10" s="1"/>
      <c r="I10" s="1"/>
      <c r="J10" s="1"/>
    </row>
    <row r="11" spans="1:10">
      <c r="A11" s="10" t="s">
        <v>5</v>
      </c>
      <c r="B11" s="1"/>
      <c r="C11" s="1"/>
      <c r="D11" s="1"/>
      <c r="E11" s="1"/>
      <c r="F11" s="1"/>
      <c r="G11" s="1"/>
      <c r="H11" s="1"/>
      <c r="I11" s="1"/>
      <c r="J11" s="1"/>
    </row>
    <row r="12" spans="1:10">
      <c r="A12" s="10"/>
      <c r="B12" s="1"/>
      <c r="C12" s="1"/>
      <c r="D12" s="1"/>
      <c r="E12" s="1"/>
      <c r="F12" s="1"/>
      <c r="G12" s="1"/>
      <c r="H12" s="1"/>
      <c r="I12" s="1"/>
      <c r="J12" s="1"/>
    </row>
    <row r="13" spans="1:10">
      <c r="A13" s="10" t="s">
        <v>6</v>
      </c>
      <c r="B13" s="1"/>
      <c r="C13" s="1"/>
      <c r="D13" s="1"/>
      <c r="E13" s="1"/>
      <c r="F13" s="1"/>
      <c r="G13" s="1"/>
      <c r="H13" s="1"/>
      <c r="I13" s="1"/>
      <c r="J13" s="1"/>
    </row>
    <row r="14" spans="1:10">
      <c r="A14" s="10" t="s">
        <v>7</v>
      </c>
      <c r="B14" s="1"/>
      <c r="C14" s="1"/>
      <c r="D14" s="1"/>
      <c r="E14" s="1"/>
      <c r="F14" s="1"/>
      <c r="G14" s="1"/>
      <c r="H14" s="1"/>
      <c r="I14" s="1"/>
      <c r="J14" s="1"/>
    </row>
    <row r="15" spans="1:10">
      <c r="A15" s="10" t="s">
        <v>8</v>
      </c>
      <c r="B15" s="1"/>
      <c r="C15" s="1"/>
      <c r="D15" s="1"/>
      <c r="E15" s="1"/>
      <c r="F15" s="1"/>
      <c r="G15" s="1"/>
      <c r="H15" s="1"/>
      <c r="I15" s="1"/>
      <c r="J15" s="1"/>
    </row>
    <row r="16" spans="1:10">
      <c r="A16" s="10" t="s">
        <v>9</v>
      </c>
      <c r="B16" s="1"/>
      <c r="C16" s="1"/>
      <c r="D16" s="1"/>
      <c r="E16" s="1"/>
      <c r="F16" s="1"/>
      <c r="G16" s="1"/>
      <c r="H16" s="1"/>
      <c r="I16" s="1"/>
      <c r="J16" s="1"/>
    </row>
    <row r="17" spans="1:10">
      <c r="A17" s="10" t="s">
        <v>10</v>
      </c>
      <c r="B17" s="1"/>
      <c r="C17" s="1"/>
      <c r="D17" s="1"/>
      <c r="E17" s="1"/>
      <c r="F17" s="1"/>
      <c r="G17" s="1"/>
      <c r="H17" s="1"/>
      <c r="I17" s="1"/>
      <c r="J17" s="1"/>
    </row>
    <row r="18" spans="1:10">
      <c r="A18" s="10" t="s">
        <v>11</v>
      </c>
      <c r="B18" s="1"/>
      <c r="C18" s="1"/>
      <c r="D18" s="1"/>
      <c r="E18" s="1"/>
      <c r="F18" s="1"/>
      <c r="G18" s="1"/>
      <c r="H18" s="1"/>
      <c r="I18" s="1"/>
      <c r="J18" s="1"/>
    </row>
    <row r="19" spans="1:10">
      <c r="A19" s="10" t="s">
        <v>12</v>
      </c>
      <c r="B19" s="1"/>
      <c r="C19" s="1"/>
      <c r="D19" s="1"/>
      <c r="E19" s="1"/>
      <c r="F19" s="1"/>
      <c r="G19" s="1"/>
      <c r="H19" s="1"/>
      <c r="I19" s="1"/>
      <c r="J19" s="1"/>
    </row>
    <row r="20" spans="1:10">
      <c r="A20" s="10" t="s">
        <v>13</v>
      </c>
      <c r="B20" s="1"/>
      <c r="C20" s="1"/>
      <c r="D20" s="1"/>
      <c r="E20" s="1"/>
      <c r="F20" s="1"/>
      <c r="G20" s="1"/>
      <c r="H20" s="1"/>
      <c r="I20" s="1"/>
      <c r="J20" s="1"/>
    </row>
    <row r="21" spans="1:10">
      <c r="A21" s="10"/>
      <c r="B21" s="1"/>
      <c r="C21" s="1"/>
      <c r="D21" s="1"/>
      <c r="E21" s="1"/>
      <c r="F21" s="1"/>
      <c r="G21" s="1"/>
      <c r="H21" s="1"/>
      <c r="I21" s="1"/>
      <c r="J21" s="1"/>
    </row>
    <row r="22" spans="1:10">
      <c r="A22" s="10" t="s">
        <v>14</v>
      </c>
      <c r="B22" s="1"/>
      <c r="C22" s="1"/>
      <c r="D22" s="1"/>
      <c r="E22" s="1"/>
      <c r="F22" s="1"/>
      <c r="G22" s="1"/>
      <c r="H22" s="1"/>
      <c r="I22" s="1"/>
      <c r="J22" s="1"/>
    </row>
    <row r="23" spans="1:10">
      <c r="A23" s="10" t="s">
        <v>15</v>
      </c>
      <c r="B23" s="1"/>
      <c r="C23" s="1"/>
      <c r="D23" s="1"/>
      <c r="E23" s="1"/>
      <c r="F23" s="1"/>
      <c r="G23" s="1"/>
      <c r="H23" s="1"/>
      <c r="I23" s="1"/>
      <c r="J23" s="1"/>
    </row>
    <row r="24" spans="1:10">
      <c r="A24" s="10" t="s">
        <v>16</v>
      </c>
      <c r="B24" s="1"/>
      <c r="C24" s="1"/>
      <c r="D24" s="1"/>
      <c r="E24" s="1"/>
      <c r="F24" s="1"/>
      <c r="G24" s="1"/>
      <c r="H24" s="1"/>
      <c r="I24" s="1"/>
      <c r="J24" s="1"/>
    </row>
    <row r="25" spans="1:10">
      <c r="A25" s="10" t="s">
        <v>17</v>
      </c>
      <c r="B25" s="1"/>
      <c r="C25" s="1"/>
      <c r="D25" s="1"/>
      <c r="E25" s="1"/>
      <c r="F25" s="1"/>
      <c r="G25" s="1"/>
      <c r="H25" s="1"/>
      <c r="I25" s="1"/>
      <c r="J25" s="1"/>
    </row>
    <row r="26" spans="1:10">
      <c r="A26" s="10" t="s">
        <v>18</v>
      </c>
      <c r="B26" s="1"/>
      <c r="C26" s="1"/>
      <c r="D26" s="1"/>
      <c r="E26" s="1"/>
      <c r="F26" s="1"/>
      <c r="G26" s="1"/>
      <c r="H26" s="1"/>
      <c r="I26" s="1"/>
      <c r="J26" s="1"/>
    </row>
    <row r="27" spans="1:10">
      <c r="A27" s="10" t="s">
        <v>19</v>
      </c>
      <c r="B27" s="1"/>
      <c r="C27" s="1"/>
      <c r="D27" s="1"/>
      <c r="E27" s="1"/>
      <c r="F27" s="1"/>
      <c r="G27" s="1"/>
      <c r="H27" s="1"/>
      <c r="I27" s="1"/>
      <c r="J27" s="1"/>
    </row>
    <row r="28" spans="1:10">
      <c r="A28" s="10" t="s">
        <v>6</v>
      </c>
      <c r="B28" s="1"/>
      <c r="C28" s="1"/>
      <c r="D28" s="1"/>
      <c r="E28" s="1"/>
      <c r="F28" s="1"/>
      <c r="G28" s="1"/>
      <c r="H28" s="1"/>
      <c r="I28" s="1"/>
      <c r="J28" s="1"/>
    </row>
    <row r="29" spans="1:10">
      <c r="A29" s="10" t="s">
        <v>7</v>
      </c>
      <c r="B29" s="1"/>
      <c r="C29" s="1"/>
      <c r="D29" s="1"/>
      <c r="E29" s="1"/>
      <c r="F29" s="1"/>
      <c r="G29" s="1"/>
      <c r="H29" s="1"/>
      <c r="I29" s="1"/>
      <c r="J29" s="1"/>
    </row>
    <row r="30" spans="1:10">
      <c r="A30" s="10" t="s">
        <v>8</v>
      </c>
      <c r="B30" s="1"/>
      <c r="C30" s="1"/>
      <c r="D30" s="1"/>
      <c r="E30" s="1"/>
      <c r="F30" s="1"/>
      <c r="G30" s="1"/>
      <c r="H30" s="1"/>
      <c r="I30" s="1"/>
      <c r="J30" s="1"/>
    </row>
    <row r="31" spans="1:10">
      <c r="A31" s="10"/>
      <c r="B31" s="1"/>
      <c r="C31" s="1"/>
      <c r="D31" s="1"/>
      <c r="E31" s="1"/>
      <c r="F31" s="1"/>
      <c r="G31" s="1"/>
      <c r="H31" s="1"/>
      <c r="I31" s="1"/>
      <c r="J31" s="1"/>
    </row>
    <row r="32" spans="1:10">
      <c r="A32" s="10"/>
      <c r="B32" s="1"/>
      <c r="C32" s="1"/>
      <c r="D32" s="1"/>
      <c r="E32" s="1"/>
      <c r="F32" s="1"/>
      <c r="G32" s="1"/>
      <c r="H32" s="1"/>
      <c r="I32" s="1"/>
      <c r="J32" s="1"/>
    </row>
    <row r="33" spans="1:10">
      <c r="A33" s="10" t="s">
        <v>20</v>
      </c>
      <c r="B33" s="1"/>
      <c r="C33" s="1"/>
      <c r="D33" s="1"/>
      <c r="E33" s="1"/>
      <c r="F33" s="1"/>
      <c r="G33" s="1"/>
      <c r="H33" s="1"/>
      <c r="I33" s="1"/>
      <c r="J33" s="1"/>
    </row>
    <row r="34" spans="1:10">
      <c r="A34" s="10" t="s">
        <v>21</v>
      </c>
      <c r="B34" s="1"/>
      <c r="C34" s="1"/>
      <c r="D34" s="1"/>
      <c r="E34" s="1"/>
      <c r="F34" s="1"/>
      <c r="G34" s="1"/>
      <c r="H34" s="1"/>
      <c r="I34" s="1"/>
      <c r="J34" s="1"/>
    </row>
    <row r="35" spans="1:10">
      <c r="A35" s="10" t="s">
        <v>22</v>
      </c>
      <c r="B35" s="1"/>
      <c r="C35" s="1"/>
      <c r="D35" s="1"/>
      <c r="E35" s="1"/>
      <c r="F35" s="1"/>
      <c r="G35" s="1"/>
      <c r="H35" s="1"/>
      <c r="I35" s="1"/>
      <c r="J35" s="1"/>
    </row>
    <row r="36" spans="1:10">
      <c r="A36" s="10" t="s">
        <v>23</v>
      </c>
      <c r="B36" s="1"/>
      <c r="C36" s="1"/>
      <c r="D36" s="1"/>
      <c r="E36" s="1"/>
      <c r="F36" s="1"/>
      <c r="G36" s="1"/>
      <c r="H36" s="1"/>
      <c r="I36" s="1"/>
      <c r="J36" s="1"/>
    </row>
    <row r="37" spans="1:10">
      <c r="A37" s="10" t="s">
        <v>24</v>
      </c>
      <c r="B37" s="1"/>
      <c r="C37" s="1"/>
      <c r="D37" s="1"/>
      <c r="E37" s="1"/>
      <c r="F37" s="1"/>
      <c r="G37" s="1"/>
      <c r="H37" s="1"/>
      <c r="I37" s="1"/>
      <c r="J37" s="1"/>
    </row>
    <row r="38" spans="1:10">
      <c r="A38" s="10"/>
      <c r="B38" s="1"/>
      <c r="C38" s="1"/>
      <c r="D38" s="1"/>
      <c r="E38" s="1"/>
      <c r="F38" s="1"/>
      <c r="G38" s="1"/>
      <c r="H38" s="1"/>
      <c r="I38" s="1"/>
      <c r="J38" s="1"/>
    </row>
    <row r="39" spans="1:10">
      <c r="A39" s="10" t="s">
        <v>25</v>
      </c>
      <c r="B39" s="1"/>
      <c r="C39" s="1"/>
      <c r="D39" s="1"/>
      <c r="E39" s="1"/>
      <c r="F39" s="1"/>
      <c r="G39" s="1"/>
      <c r="H39" s="1"/>
      <c r="I39" s="1"/>
      <c r="J39" s="1"/>
    </row>
    <row r="40" spans="1:10">
      <c r="A40" s="10" t="s">
        <v>26</v>
      </c>
      <c r="B40" s="1"/>
      <c r="C40" s="1"/>
      <c r="D40" s="1"/>
      <c r="E40" s="1"/>
      <c r="F40" s="1"/>
      <c r="G40" s="1"/>
      <c r="H40" s="1"/>
      <c r="I40" s="1"/>
      <c r="J40" s="1"/>
    </row>
    <row r="41" spans="1:10">
      <c r="A41" s="10" t="s">
        <v>27</v>
      </c>
      <c r="B41" s="1"/>
      <c r="C41" s="1"/>
      <c r="D41" s="1"/>
      <c r="E41" s="1"/>
      <c r="F41" s="1"/>
      <c r="G41" s="1"/>
      <c r="H41" s="1"/>
      <c r="I41" s="1"/>
      <c r="J41" s="1"/>
    </row>
    <row r="42" spans="1:10">
      <c r="A42" s="10"/>
      <c r="B42" s="1"/>
      <c r="C42" s="1"/>
      <c r="D42" s="1"/>
      <c r="E42" s="1"/>
      <c r="F42" s="1"/>
      <c r="G42" s="1"/>
      <c r="H42" s="1"/>
      <c r="I42" s="1"/>
      <c r="J42" s="1"/>
    </row>
    <row r="43" spans="1:10">
      <c r="A43" s="10" t="s">
        <v>28</v>
      </c>
      <c r="B43" s="1"/>
      <c r="C43" s="1"/>
      <c r="D43" s="1"/>
      <c r="E43" s="1"/>
      <c r="F43" s="1"/>
      <c r="G43" s="1"/>
      <c r="H43" s="1"/>
      <c r="I43" s="1"/>
      <c r="J43" s="1"/>
    </row>
    <row r="44" spans="1:10">
      <c r="A44" s="10" t="s">
        <v>29</v>
      </c>
      <c r="B44" s="1"/>
      <c r="C44" s="1"/>
      <c r="D44" s="1"/>
      <c r="E44" s="1"/>
      <c r="F44" s="1"/>
      <c r="G44" s="1"/>
      <c r="H44" s="1"/>
      <c r="I44" s="1"/>
      <c r="J44" s="1"/>
    </row>
    <row r="45" spans="1:10">
      <c r="A45" s="10" t="s">
        <v>30</v>
      </c>
      <c r="B45" s="1"/>
      <c r="C45" s="1"/>
      <c r="D45" s="1"/>
      <c r="E45" s="1"/>
      <c r="F45" s="1"/>
      <c r="G45" s="1"/>
      <c r="H45" s="1"/>
      <c r="I45" s="1"/>
      <c r="J45" s="1"/>
    </row>
    <row r="46" spans="1:10">
      <c r="A46" s="10" t="s">
        <v>31</v>
      </c>
      <c r="B46" s="1"/>
      <c r="C46" s="1"/>
      <c r="D46" s="1"/>
      <c r="E46" s="1"/>
      <c r="F46" s="1"/>
      <c r="G46" s="1"/>
      <c r="H46" s="1"/>
      <c r="I46" s="1"/>
      <c r="J46" s="1"/>
    </row>
    <row r="47" spans="1:10">
      <c r="A47" s="10" t="s">
        <v>32</v>
      </c>
      <c r="B47" s="1"/>
      <c r="C47" s="1"/>
      <c r="D47" s="1"/>
      <c r="E47" s="1"/>
      <c r="F47" s="1"/>
      <c r="G47" s="1"/>
      <c r="H47" s="1"/>
      <c r="I47" s="1"/>
      <c r="J47" s="1"/>
    </row>
    <row r="48" spans="1:10">
      <c r="A48" s="10" t="s">
        <v>33</v>
      </c>
      <c r="B48" s="1"/>
      <c r="C48" s="1"/>
      <c r="D48" s="1"/>
      <c r="E48" s="1"/>
      <c r="F48" s="1"/>
      <c r="G48" s="1"/>
      <c r="H48" s="1"/>
      <c r="I48" s="1"/>
      <c r="J48" s="1"/>
    </row>
    <row r="49" spans="1:10">
      <c r="A49" s="10" t="s">
        <v>34</v>
      </c>
      <c r="B49" s="1"/>
      <c r="C49" s="1"/>
      <c r="D49" s="1"/>
      <c r="E49" s="1"/>
      <c r="F49" s="1"/>
      <c r="G49" s="1"/>
      <c r="H49" s="1"/>
      <c r="I49" s="1"/>
      <c r="J49" s="1"/>
    </row>
    <row r="50" spans="1:10">
      <c r="A50" s="10" t="s">
        <v>35</v>
      </c>
      <c r="B50" s="1"/>
      <c r="C50" s="1"/>
      <c r="D50" s="1"/>
      <c r="E50" s="1"/>
      <c r="F50" s="1"/>
      <c r="G50" s="1"/>
      <c r="H50" s="1"/>
      <c r="I50" s="1"/>
      <c r="J50" s="1"/>
    </row>
    <row r="51" spans="1:10">
      <c r="A51" s="10" t="s">
        <v>36</v>
      </c>
      <c r="B51" s="1"/>
      <c r="C51" s="1"/>
      <c r="D51" s="1"/>
      <c r="E51" s="1"/>
      <c r="F51" s="1"/>
      <c r="G51" s="1"/>
      <c r="H51" s="1"/>
      <c r="I51" s="1"/>
      <c r="J51" s="1"/>
    </row>
    <row r="52" spans="1:10">
      <c r="A52" s="10" t="s">
        <v>37</v>
      </c>
      <c r="B52" s="1"/>
      <c r="C52" s="1"/>
      <c r="D52" s="1"/>
      <c r="E52" s="1"/>
      <c r="F52" s="1"/>
      <c r="G52" s="1"/>
      <c r="H52" s="1"/>
      <c r="I52" s="1"/>
      <c r="J52" s="1"/>
    </row>
    <row r="53" spans="1:10">
      <c r="A53" s="10"/>
      <c r="B53" s="1"/>
      <c r="C53" s="1"/>
      <c r="D53" s="1"/>
      <c r="E53" s="1"/>
      <c r="F53" s="1"/>
      <c r="G53" s="1"/>
      <c r="H53" s="1"/>
      <c r="I53" s="1"/>
      <c r="J53" s="1"/>
    </row>
    <row r="54" spans="1:10">
      <c r="A54" s="10" t="s">
        <v>38</v>
      </c>
      <c r="B54" s="1"/>
      <c r="C54" s="1"/>
      <c r="D54" s="1"/>
      <c r="E54" s="1"/>
      <c r="F54" s="1"/>
      <c r="G54" s="1"/>
      <c r="H54" s="1"/>
      <c r="I54" s="1"/>
      <c r="J54" s="1"/>
    </row>
    <row r="55" spans="1:10">
      <c r="A55" s="10" t="str">
        <f>CONCATENATE("! DELETE ",D4," DIRECTORY BASED")</f>
        <v>! DELETE FB050810 DIRECTORY BASED</v>
      </c>
      <c r="B55" s="1"/>
      <c r="C55" s="1"/>
      <c r="D55" s="1"/>
      <c r="E55" s="1"/>
      <c r="F55" s="1"/>
      <c r="G55" s="1"/>
      <c r="H55" s="1"/>
      <c r="I55" s="1"/>
      <c r="J55" s="1"/>
    </row>
    <row r="56" spans="1:10">
      <c r="A56" s="10" t="str">
        <f>CONCATENATE("ZWQD:NAME=",D4,":DIRE,PRINTS;")</f>
        <v>ZWQD:NAME=FB050810:DIRE,PRINTS;</v>
      </c>
      <c r="B56" s="1"/>
      <c r="C56" s="1"/>
      <c r="D56" s="1"/>
      <c r="E56" s="1"/>
      <c r="F56" s="1"/>
      <c r="G56" s="1"/>
      <c r="H56" s="1"/>
      <c r="I56" s="1"/>
      <c r="J56" s="1"/>
    </row>
    <row r="57" spans="1:10">
      <c r="A57" s="10"/>
      <c r="B57" s="1"/>
      <c r="C57" s="1"/>
      <c r="D57" s="1"/>
      <c r="E57" s="1"/>
      <c r="F57" s="1"/>
      <c r="G57" s="1"/>
      <c r="H57" s="1"/>
      <c r="I57" s="1"/>
      <c r="J57" s="1"/>
    </row>
    <row r="58" spans="1:10">
      <c r="A58" s="10" t="s">
        <v>39</v>
      </c>
      <c r="B58" s="1"/>
      <c r="C58" s="1"/>
      <c r="D58" s="1"/>
      <c r="E58" s="1"/>
      <c r="F58" s="1"/>
      <c r="G58" s="1"/>
      <c r="H58" s="1"/>
      <c r="I58" s="1"/>
      <c r="J58" s="1"/>
    </row>
    <row r="59" spans="1:10">
      <c r="A59" s="10" t="str">
        <f>CONCATENATE("ZWKS:MODE=FULL,NAME=",D5,",DIRE=",D5,"::;")</f>
        <v>ZWKS:MODE=FULL,NAME=FB090910,DIRE=FB090910::;</v>
      </c>
      <c r="B59" s="1"/>
      <c r="C59" s="1"/>
      <c r="D59" s="1"/>
      <c r="E59" s="1"/>
      <c r="F59" s="1"/>
      <c r="G59" s="1"/>
      <c r="H59" s="1"/>
      <c r="I59" s="1"/>
      <c r="J59" s="1"/>
    </row>
    <row r="60" spans="1:10">
      <c r="A60" s="10" t="s">
        <v>40</v>
      </c>
      <c r="B60" s="1"/>
      <c r="C60" s="1"/>
      <c r="D60" s="1"/>
      <c r="E60" s="1"/>
      <c r="F60" s="1"/>
      <c r="G60" s="1"/>
      <c r="H60" s="1"/>
      <c r="I60" s="1"/>
      <c r="J60" s="1"/>
    </row>
    <row r="61" spans="1:10">
      <c r="A61" s="10"/>
      <c r="B61" s="1"/>
      <c r="C61" s="1"/>
      <c r="D61" s="1"/>
      <c r="E61" s="1"/>
      <c r="F61" s="1"/>
      <c r="G61" s="1"/>
      <c r="H61" s="1"/>
      <c r="I61" s="1"/>
      <c r="J61" s="1"/>
    </row>
    <row r="62" spans="1:10">
      <c r="A62" s="10" t="s">
        <v>41</v>
      </c>
      <c r="B62" s="1"/>
      <c r="C62" s="1"/>
      <c r="D62" s="1"/>
      <c r="E62" s="1"/>
      <c r="F62" s="1"/>
      <c r="G62" s="1"/>
      <c r="H62" s="1"/>
      <c r="I62" s="1"/>
      <c r="J62" s="1"/>
    </row>
    <row r="63" spans="1:10">
      <c r="A63" s="10" t="s">
        <v>42</v>
      </c>
      <c r="B63" s="1"/>
      <c r="C63" s="1"/>
      <c r="D63" s="1"/>
      <c r="E63" s="1"/>
      <c r="F63" s="1"/>
      <c r="G63" s="1"/>
      <c r="H63" s="1"/>
      <c r="I63" s="1"/>
      <c r="J63" s="1"/>
    </row>
    <row r="64" spans="1:10">
      <c r="A64" s="10" t="s">
        <v>43</v>
      </c>
      <c r="B64" s="1"/>
      <c r="C64" s="1"/>
      <c r="D64" s="1"/>
      <c r="E64" s="1"/>
      <c r="F64" s="1"/>
      <c r="G64" s="1"/>
      <c r="H64" s="1"/>
      <c r="I64" s="1"/>
      <c r="J64" s="1"/>
    </row>
    <row r="65" spans="1:10">
      <c r="A65" s="10" t="s">
        <v>44</v>
      </c>
      <c r="B65" s="1"/>
      <c r="C65" s="1"/>
      <c r="D65" s="1"/>
      <c r="E65" s="1"/>
      <c r="F65" s="1"/>
      <c r="G65" s="1"/>
      <c r="H65" s="1"/>
      <c r="I65" s="1"/>
      <c r="J65" s="1"/>
    </row>
    <row r="66" spans="1:10">
      <c r="A66" s="10" t="s">
        <v>45</v>
      </c>
      <c r="B66" s="1"/>
      <c r="C66" s="1"/>
      <c r="D66" s="1"/>
      <c r="E66" s="1"/>
      <c r="F66" s="1"/>
      <c r="G66" s="1"/>
      <c r="H66" s="1"/>
      <c r="I66" s="1"/>
      <c r="J66" s="1"/>
    </row>
    <row r="67" spans="1:10">
      <c r="A67" s="10" t="s">
        <v>23</v>
      </c>
      <c r="B67" s="1"/>
      <c r="C67" s="1"/>
      <c r="D67" s="1"/>
      <c r="E67" s="1"/>
      <c r="F67" s="1"/>
      <c r="G67" s="1"/>
      <c r="H67" s="1"/>
      <c r="I67" s="1"/>
      <c r="J67" s="1"/>
    </row>
    <row r="68" spans="1:10">
      <c r="A68" s="10" t="s">
        <v>24</v>
      </c>
      <c r="B68" s="1"/>
      <c r="C68" s="1"/>
      <c r="D68" s="1"/>
      <c r="E68" s="1"/>
      <c r="F68" s="1"/>
      <c r="G68" s="1"/>
      <c r="H68" s="1"/>
      <c r="I68" s="1"/>
      <c r="J68" s="1"/>
    </row>
    <row r="69" spans="1:10">
      <c r="A69" s="10"/>
      <c r="B69" s="1"/>
      <c r="C69" s="1"/>
      <c r="D69" s="1"/>
      <c r="E69" s="1"/>
      <c r="F69" s="1"/>
      <c r="G69" s="1"/>
      <c r="H69" s="1"/>
      <c r="I69" s="1"/>
      <c r="J69" s="1"/>
    </row>
    <row r="70" spans="1:10">
      <c r="A70" s="10" t="s">
        <v>46</v>
      </c>
      <c r="B70" s="1"/>
      <c r="C70" s="1"/>
      <c r="D70" s="1"/>
      <c r="E70" s="1"/>
      <c r="F70" s="1"/>
      <c r="G70" s="1"/>
      <c r="H70" s="1"/>
      <c r="I70" s="1"/>
      <c r="J70" s="1"/>
    </row>
    <row r="71" spans="1:10">
      <c r="B71" s="1"/>
      <c r="C71" s="1"/>
      <c r="D71" s="1"/>
      <c r="E71" s="1"/>
      <c r="F71" s="1"/>
      <c r="G71" s="1"/>
      <c r="H71" s="1"/>
      <c r="I71" s="1"/>
      <c r="J71" s="1"/>
    </row>
    <row r="72" spans="1:10">
      <c r="A72" s="10"/>
      <c r="B72" s="1"/>
      <c r="C72" s="1"/>
      <c r="D72" s="1"/>
      <c r="E72" s="1"/>
      <c r="F72" s="1"/>
      <c r="G72" s="1"/>
      <c r="H72" s="1"/>
      <c r="I72" s="1"/>
      <c r="J72" s="1"/>
    </row>
    <row r="73" spans="1:10">
      <c r="A73" s="10"/>
      <c r="B73" s="1"/>
      <c r="C73" s="1"/>
      <c r="D73" s="1"/>
      <c r="E73" s="1"/>
      <c r="F73" s="1"/>
      <c r="G73" s="1"/>
      <c r="H73" s="1"/>
      <c r="I73" s="1"/>
      <c r="J73" s="1"/>
    </row>
    <row r="74" spans="1:10">
      <c r="A74" s="10"/>
      <c r="B74" s="1"/>
      <c r="C74" s="1"/>
      <c r="D74" s="1"/>
      <c r="E74" s="1"/>
      <c r="F74" s="1"/>
      <c r="G74" s="1"/>
      <c r="H74" s="1"/>
      <c r="I74" s="1"/>
      <c r="J74" s="1"/>
    </row>
    <row r="75" spans="1:10">
      <c r="A75" s="10"/>
      <c r="B75" s="1"/>
      <c r="C75" s="1"/>
      <c r="D75" s="1"/>
      <c r="E75" s="1"/>
      <c r="F75" s="1"/>
      <c r="G75" s="1"/>
      <c r="H75" s="1"/>
      <c r="I75" s="1"/>
      <c r="J75" s="1"/>
    </row>
    <row r="76" spans="1:10">
      <c r="A76" s="10"/>
      <c r="B76" s="1"/>
      <c r="C76" s="1"/>
      <c r="D76" s="1"/>
      <c r="E76" s="1"/>
      <c r="F76" s="1"/>
      <c r="G76" s="1"/>
      <c r="H76" s="1"/>
      <c r="I76" s="1"/>
      <c r="J76" s="1"/>
    </row>
    <row r="77" spans="1:10">
      <c r="A77" s="10"/>
      <c r="B77" s="1"/>
      <c r="C77" s="1"/>
      <c r="D77" s="1"/>
      <c r="E77" s="1"/>
      <c r="F77" s="1"/>
      <c r="G77" s="1"/>
      <c r="H77" s="1"/>
      <c r="I77" s="1"/>
      <c r="J77" s="1"/>
    </row>
    <row r="78" spans="1:10">
      <c r="A78" s="10"/>
      <c r="B78" s="1"/>
      <c r="C78" s="1"/>
      <c r="D78" s="1"/>
      <c r="E78" s="1"/>
      <c r="F78" s="1"/>
      <c r="G78" s="1"/>
      <c r="H78" s="1"/>
      <c r="I78" s="1"/>
      <c r="J78" s="1"/>
    </row>
    <row r="79" spans="1:10">
      <c r="A79" s="10"/>
      <c r="B79" s="1"/>
      <c r="C79" s="1"/>
      <c r="D79" s="1"/>
      <c r="E79" s="1"/>
      <c r="F79" s="1"/>
      <c r="G79" s="1"/>
      <c r="H79" s="1"/>
      <c r="I79" s="1"/>
      <c r="J79" s="1"/>
    </row>
    <row r="80" spans="1:10">
      <c r="A80" s="10"/>
      <c r="B80" s="1"/>
      <c r="C80" s="1"/>
      <c r="D80" s="1"/>
      <c r="E80" s="1"/>
      <c r="F80" s="1"/>
      <c r="G80" s="1"/>
      <c r="H80" s="1"/>
      <c r="I80" s="1"/>
      <c r="J80" s="1"/>
    </row>
    <row r="81" spans="1:10">
      <c r="A81" s="10"/>
      <c r="B81" s="1"/>
      <c r="C81" s="1"/>
      <c r="D81" s="1"/>
      <c r="E81" s="1"/>
      <c r="F81" s="1"/>
      <c r="G81" s="1"/>
      <c r="H81" s="1"/>
      <c r="I81" s="1"/>
      <c r="J81" s="1"/>
    </row>
    <row r="82" spans="1:10">
      <c r="A82" s="10"/>
      <c r="B82" s="1"/>
      <c r="C82" s="1"/>
      <c r="D82" s="1"/>
      <c r="E82" s="1"/>
      <c r="F82" s="1"/>
      <c r="G82" s="1"/>
      <c r="H82" s="1"/>
      <c r="I82" s="1"/>
      <c r="J82" s="1"/>
    </row>
    <row r="83" spans="1:10">
      <c r="A83" s="10"/>
      <c r="B83" s="1"/>
      <c r="C83" s="1"/>
      <c r="D83" s="1"/>
      <c r="E83" s="1"/>
      <c r="F83" s="1"/>
      <c r="G83" s="1"/>
      <c r="H83" s="1"/>
      <c r="I83" s="1"/>
      <c r="J83" s="1"/>
    </row>
    <row r="84" spans="1:10">
      <c r="A84" s="10"/>
      <c r="B84" s="1"/>
      <c r="C84" s="1"/>
      <c r="D84" s="1"/>
      <c r="E84" s="1"/>
      <c r="F84" s="1"/>
      <c r="G84" s="1"/>
      <c r="H84" s="1"/>
      <c r="I84" s="1"/>
      <c r="J84" s="1"/>
    </row>
    <row r="85" spans="1:10">
      <c r="A85" s="10"/>
      <c r="B85" s="1"/>
      <c r="C85" s="1"/>
      <c r="D85" s="1"/>
      <c r="E85" s="1"/>
      <c r="F85" s="1"/>
      <c r="G85" s="1"/>
      <c r="H85" s="1"/>
      <c r="I85" s="1"/>
      <c r="J85" s="1"/>
    </row>
    <row r="86" spans="1:10">
      <c r="A86" s="10"/>
      <c r="B86" s="1"/>
      <c r="C86" s="1"/>
      <c r="D86" s="1"/>
      <c r="E86" s="1"/>
      <c r="F86" s="1"/>
      <c r="G86" s="1"/>
      <c r="H86" s="1"/>
      <c r="I86" s="1"/>
      <c r="J86" s="1"/>
    </row>
    <row r="87" spans="1:10">
      <c r="A87" s="10"/>
      <c r="B87" s="1"/>
      <c r="C87" s="1"/>
      <c r="D87" s="1"/>
      <c r="E87" s="1"/>
      <c r="F87" s="1"/>
      <c r="G87" s="1"/>
      <c r="H87" s="1"/>
      <c r="I87" s="1"/>
      <c r="J87" s="1"/>
    </row>
    <row r="88" spans="1:10">
      <c r="A88" s="10"/>
      <c r="B88" s="1"/>
      <c r="C88" s="1"/>
      <c r="D88" s="1"/>
      <c r="E88" s="1"/>
      <c r="F88" s="1"/>
      <c r="G88" s="1"/>
      <c r="H88" s="1"/>
      <c r="I88" s="1"/>
      <c r="J88" s="1"/>
    </row>
    <row r="89" spans="1:10">
      <c r="A89" s="10"/>
      <c r="B89" s="1"/>
      <c r="C89" s="1"/>
      <c r="D89" s="1"/>
      <c r="E89" s="1"/>
      <c r="F89" s="1"/>
      <c r="G89" s="1"/>
      <c r="H89" s="1"/>
      <c r="I89" s="1"/>
      <c r="J89" s="1"/>
    </row>
    <row r="90" spans="1:10">
      <c r="A90" s="10"/>
      <c r="B90" s="1"/>
      <c r="C90" s="1"/>
      <c r="D90" s="1"/>
      <c r="E90" s="1"/>
      <c r="F90" s="1"/>
      <c r="G90" s="1"/>
      <c r="H90" s="1"/>
      <c r="I90" s="1"/>
      <c r="J90" s="1"/>
    </row>
    <row r="91" spans="1:10">
      <c r="A91" s="10"/>
      <c r="B91" s="1"/>
      <c r="C91" s="1"/>
      <c r="D91" s="1"/>
      <c r="E91" s="1"/>
      <c r="F91" s="1"/>
      <c r="G91" s="1"/>
      <c r="H91" s="1"/>
      <c r="I91" s="1"/>
      <c r="J91" s="1"/>
    </row>
    <row r="92" spans="1:10">
      <c r="A92" s="10"/>
      <c r="B92" s="1"/>
      <c r="C92" s="1"/>
      <c r="D92" s="1"/>
      <c r="E92" s="1"/>
      <c r="F92" s="1"/>
      <c r="G92" s="1"/>
      <c r="H92" s="1"/>
      <c r="I92" s="1"/>
      <c r="J92" s="1"/>
    </row>
    <row r="93" spans="1:10">
      <c r="A93" s="10"/>
      <c r="B93" s="1"/>
      <c r="C93" s="1"/>
      <c r="D93" s="1"/>
      <c r="E93" s="1"/>
      <c r="F93" s="1"/>
      <c r="G93" s="1"/>
      <c r="H93" s="1"/>
      <c r="I93" s="1"/>
      <c r="J93" s="1"/>
    </row>
    <row r="94" spans="1:10">
      <c r="A94" s="10"/>
      <c r="B94" s="1"/>
      <c r="C94" s="1"/>
      <c r="D94" s="1"/>
      <c r="E94" s="1"/>
      <c r="F94" s="1"/>
      <c r="G94" s="1"/>
      <c r="H94" s="1"/>
      <c r="I94" s="1"/>
      <c r="J94" s="1"/>
    </row>
    <row r="95" spans="1:10">
      <c r="A95" s="10"/>
      <c r="B95" s="1"/>
      <c r="C95" s="1"/>
      <c r="D95" s="1"/>
      <c r="E95" s="1"/>
      <c r="F95" s="1"/>
      <c r="G95" s="1"/>
      <c r="H95" s="1"/>
      <c r="I95" s="1"/>
      <c r="J95" s="1"/>
    </row>
    <row r="96" spans="1:10">
      <c r="A96" s="10"/>
      <c r="B96" s="1"/>
      <c r="C96" s="1"/>
      <c r="D96" s="1"/>
      <c r="E96" s="1"/>
      <c r="F96" s="1"/>
      <c r="G96" s="1"/>
      <c r="H96" s="1"/>
      <c r="I96" s="1"/>
      <c r="J96" s="1"/>
    </row>
    <row r="97" spans="1:10">
      <c r="A97" s="10"/>
      <c r="B97" s="1"/>
      <c r="C97" s="1"/>
      <c r="D97" s="1"/>
      <c r="E97" s="1"/>
      <c r="F97" s="1"/>
      <c r="G97" s="1"/>
      <c r="H97" s="1"/>
      <c r="I97" s="1"/>
      <c r="J97" s="1"/>
    </row>
    <row r="98" spans="1:10">
      <c r="A98" s="10"/>
      <c r="B98" s="1"/>
      <c r="C98" s="1"/>
      <c r="D98" s="1"/>
      <c r="E98" s="1"/>
      <c r="F98" s="1"/>
      <c r="G98" s="1"/>
      <c r="H98" s="1"/>
      <c r="I98" s="1"/>
      <c r="J98" s="1"/>
    </row>
    <row r="99" spans="1:10">
      <c r="A99" s="10"/>
      <c r="B99" s="1"/>
      <c r="C99" s="1"/>
      <c r="D99" s="1"/>
      <c r="E99" s="1"/>
      <c r="F99" s="1"/>
      <c r="G99" s="1"/>
      <c r="H99" s="1"/>
      <c r="I99" s="1"/>
      <c r="J99" s="1"/>
    </row>
  </sheetData>
  <sheetProtection password="B6E0" sheet="1" objects="1" scenarios="1"/>
  <protectedRanges>
    <protectedRange sqref="D4:E5" name="Rango1"/>
  </protectedRanges>
  <mergeCells count="4">
    <mergeCell ref="C2:E2"/>
    <mergeCell ref="D3:E3"/>
    <mergeCell ref="D4:E4"/>
    <mergeCell ref="D5:E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8"/>
  <dimension ref="A1:J49"/>
  <sheetViews>
    <sheetView workbookViewId="0"/>
  </sheetViews>
  <sheetFormatPr baseColWidth="10" defaultRowHeight="15"/>
  <cols>
    <col min="1" max="1" width="74.5703125" style="34" customWidth="1"/>
    <col min="2" max="16384" width="11.42578125" style="32"/>
  </cols>
  <sheetData>
    <row r="1" spans="1:10" customFormat="1">
      <c r="A1" s="10" t="s">
        <v>0</v>
      </c>
      <c r="B1" s="1"/>
      <c r="C1" s="1"/>
      <c r="D1" s="1"/>
      <c r="E1" s="1"/>
      <c r="F1" s="1"/>
      <c r="G1" s="1"/>
      <c r="H1" s="1"/>
      <c r="I1" s="1"/>
      <c r="J1" s="1"/>
    </row>
    <row r="2" spans="1:10" customFormat="1">
      <c r="A2" s="10" t="s">
        <v>48</v>
      </c>
      <c r="B2" s="1"/>
      <c r="C2" s="1"/>
      <c r="D2" s="1"/>
      <c r="E2" s="1"/>
      <c r="F2" s="1"/>
      <c r="G2" s="1"/>
      <c r="H2" s="1"/>
      <c r="I2" s="1"/>
      <c r="J2" s="1"/>
    </row>
    <row r="3" spans="1:10" customFormat="1">
      <c r="A3" s="10" t="s">
        <v>0</v>
      </c>
      <c r="B3" s="1"/>
      <c r="C3" s="1"/>
      <c r="D3" s="1"/>
      <c r="E3" s="1"/>
      <c r="F3" s="1"/>
      <c r="G3" s="1"/>
      <c r="H3" s="1"/>
      <c r="I3" s="1"/>
      <c r="J3" s="1"/>
    </row>
    <row r="4" spans="1:10" customFormat="1">
      <c r="A4" s="10"/>
      <c r="B4" s="1"/>
      <c r="C4" s="1"/>
      <c r="D4" s="1"/>
      <c r="E4" s="1"/>
      <c r="F4" s="1"/>
      <c r="G4" s="1"/>
      <c r="H4" s="1"/>
      <c r="I4" s="1"/>
      <c r="J4" s="1"/>
    </row>
    <row r="5" spans="1:10" customFormat="1">
      <c r="A5" s="10"/>
      <c r="B5" s="1"/>
      <c r="C5" s="1"/>
      <c r="D5" s="1"/>
      <c r="E5" s="1"/>
      <c r="F5" s="1"/>
      <c r="G5" s="1"/>
      <c r="H5" s="1"/>
      <c r="I5" s="1"/>
      <c r="J5" s="1"/>
    </row>
    <row r="6" spans="1:10" customFormat="1">
      <c r="A6" s="10"/>
      <c r="B6" s="1"/>
      <c r="C6" s="1"/>
      <c r="D6" s="1"/>
      <c r="E6" s="1"/>
      <c r="F6" s="1"/>
      <c r="G6" s="1"/>
      <c r="H6" s="1"/>
      <c r="I6" s="1"/>
      <c r="J6" s="1"/>
    </row>
    <row r="7" spans="1:10" customFormat="1">
      <c r="A7" s="10"/>
      <c r="B7" s="1"/>
      <c r="C7" s="1"/>
      <c r="D7" s="1"/>
      <c r="E7" s="1"/>
      <c r="F7" s="1"/>
      <c r="G7" s="1"/>
      <c r="H7" s="1"/>
      <c r="I7" s="1"/>
      <c r="J7" s="1"/>
    </row>
    <row r="8" spans="1:10" customFormat="1">
      <c r="A8" s="10"/>
      <c r="B8" s="1"/>
      <c r="C8" s="1"/>
      <c r="D8" s="1"/>
      <c r="E8" s="1"/>
      <c r="F8" s="1"/>
      <c r="G8" s="1"/>
      <c r="H8" s="1"/>
      <c r="I8" s="1"/>
      <c r="J8" s="1"/>
    </row>
    <row r="9" spans="1:10" customFormat="1">
      <c r="A9" s="10"/>
      <c r="B9" s="1"/>
      <c r="C9" s="1"/>
      <c r="D9" s="1"/>
      <c r="E9" s="1"/>
      <c r="F9" s="1"/>
      <c r="G9" s="1"/>
      <c r="H9" s="1"/>
      <c r="I9" s="1"/>
      <c r="J9" s="1"/>
    </row>
    <row r="10" spans="1:10" customFormat="1">
      <c r="A10" s="10"/>
      <c r="B10" s="1"/>
      <c r="C10" s="1"/>
      <c r="D10" s="1"/>
      <c r="E10" s="1"/>
      <c r="F10" s="1"/>
      <c r="G10" s="1"/>
      <c r="H10" s="1"/>
      <c r="I10" s="1"/>
      <c r="J10" s="1"/>
    </row>
    <row r="11" spans="1:10" customFormat="1">
      <c r="A11" s="10"/>
      <c r="B11" s="1"/>
      <c r="C11" s="1"/>
      <c r="D11" s="1"/>
      <c r="E11" s="1"/>
      <c r="F11" s="1"/>
      <c r="G11" s="1"/>
      <c r="H11" s="1"/>
      <c r="I11" s="1"/>
      <c r="J11" s="1"/>
    </row>
    <row r="12" spans="1:10" customFormat="1">
      <c r="A12" s="10"/>
      <c r="B12" s="1"/>
      <c r="C12" s="1"/>
      <c r="D12" s="1"/>
      <c r="E12" s="1"/>
      <c r="F12" s="1"/>
      <c r="G12" s="1"/>
      <c r="H12" s="1"/>
      <c r="I12" s="1"/>
      <c r="J12" s="1"/>
    </row>
    <row r="13" spans="1:10" customFormat="1">
      <c r="A13" s="10"/>
      <c r="B13" s="1"/>
      <c r="C13" s="1"/>
      <c r="D13" s="1"/>
      <c r="E13" s="1"/>
      <c r="F13" s="1"/>
      <c r="G13" s="1"/>
      <c r="H13" s="1"/>
      <c r="I13" s="1"/>
      <c r="J13" s="1"/>
    </row>
    <row r="14" spans="1:10" customFormat="1">
      <c r="A14" s="10"/>
      <c r="B14" s="1"/>
      <c r="C14" s="1"/>
      <c r="D14" s="1"/>
      <c r="E14" s="1"/>
      <c r="F14" s="1"/>
      <c r="G14" s="1"/>
      <c r="H14" s="1"/>
      <c r="I14" s="1"/>
      <c r="J14" s="1"/>
    </row>
    <row r="15" spans="1:10" customFormat="1">
      <c r="A15" s="10"/>
      <c r="B15" s="1"/>
      <c r="C15" s="1"/>
      <c r="D15" s="1"/>
      <c r="E15" s="1"/>
      <c r="F15" s="1"/>
      <c r="G15" s="1"/>
      <c r="H15" s="1"/>
      <c r="I15" s="1"/>
      <c r="J15" s="1"/>
    </row>
    <row r="16" spans="1:10" customFormat="1">
      <c r="A16" s="10"/>
      <c r="B16" s="1"/>
      <c r="C16" s="1"/>
      <c r="D16" s="1"/>
      <c r="E16" s="1"/>
      <c r="F16" s="1"/>
      <c r="G16" s="1"/>
      <c r="H16" s="1"/>
      <c r="I16" s="1"/>
      <c r="J16" s="1"/>
    </row>
    <row r="17" spans="1:10" customFormat="1">
      <c r="A17" s="10"/>
      <c r="B17" s="1"/>
      <c r="C17" s="1"/>
      <c r="D17" s="1"/>
      <c r="E17" s="1"/>
      <c r="F17" s="1"/>
      <c r="G17" s="1"/>
      <c r="H17" s="1"/>
      <c r="I17" s="1"/>
      <c r="J17" s="1"/>
    </row>
    <row r="18" spans="1:10" customFormat="1">
      <c r="A18" s="10"/>
      <c r="B18" s="1"/>
      <c r="C18" s="1"/>
      <c r="D18" s="1"/>
      <c r="E18" s="1"/>
      <c r="F18" s="1"/>
      <c r="G18" s="1"/>
      <c r="H18" s="1"/>
      <c r="I18" s="1"/>
      <c r="J18" s="1"/>
    </row>
    <row r="19" spans="1:10" customFormat="1">
      <c r="A19" s="10"/>
      <c r="B19" s="1"/>
      <c r="C19" s="1"/>
      <c r="D19" s="1"/>
      <c r="E19" s="1"/>
      <c r="F19" s="1"/>
      <c r="G19" s="1"/>
      <c r="H19" s="1"/>
      <c r="I19" s="1"/>
      <c r="J19" s="1"/>
    </row>
    <row r="20" spans="1:10" customFormat="1">
      <c r="A20" s="10"/>
      <c r="B20" s="1"/>
      <c r="C20" s="1"/>
      <c r="D20" s="1"/>
      <c r="E20" s="1"/>
      <c r="F20" s="1"/>
      <c r="G20" s="1"/>
      <c r="H20" s="1"/>
      <c r="I20" s="1"/>
      <c r="J20" s="1"/>
    </row>
    <row r="21" spans="1:10" customFormat="1">
      <c r="A21" s="10"/>
      <c r="B21" s="1"/>
      <c r="C21" s="1"/>
      <c r="D21" s="1"/>
      <c r="E21" s="1"/>
      <c r="F21" s="1"/>
      <c r="G21" s="1"/>
      <c r="H21" s="1"/>
      <c r="I21" s="1"/>
      <c r="J21" s="1"/>
    </row>
    <row r="22" spans="1:10" customFormat="1">
      <c r="A22" s="10"/>
      <c r="B22" s="1"/>
      <c r="C22" s="1"/>
      <c r="D22" s="1"/>
      <c r="E22" s="1"/>
      <c r="F22" s="1"/>
      <c r="G22" s="1"/>
      <c r="H22" s="1"/>
      <c r="I22" s="1"/>
      <c r="J22" s="1"/>
    </row>
    <row r="23" spans="1:10" customFormat="1">
      <c r="A23" s="10"/>
      <c r="B23" s="1"/>
      <c r="C23" s="1"/>
      <c r="D23" s="1"/>
      <c r="E23" s="1"/>
      <c r="F23" s="1"/>
      <c r="G23" s="1"/>
      <c r="H23" s="1"/>
      <c r="I23" s="1"/>
      <c r="J23" s="1"/>
    </row>
    <row r="24" spans="1:10" customFormat="1">
      <c r="A24" s="10"/>
      <c r="B24" s="1"/>
      <c r="C24" s="1"/>
      <c r="D24" s="1"/>
      <c r="E24" s="1"/>
      <c r="F24" s="1"/>
      <c r="G24" s="1"/>
      <c r="H24" s="1"/>
      <c r="I24" s="1"/>
      <c r="J24" s="1"/>
    </row>
    <row r="25" spans="1:10" customFormat="1">
      <c r="A25" s="10"/>
      <c r="B25" s="1"/>
      <c r="C25" s="1"/>
      <c r="D25" s="1"/>
      <c r="E25" s="1"/>
      <c r="F25" s="1"/>
      <c r="G25" s="1"/>
      <c r="H25" s="1"/>
      <c r="I25" s="1"/>
      <c r="J25" s="1"/>
    </row>
    <row r="26" spans="1:10" customFormat="1">
      <c r="A26" s="10"/>
      <c r="B26" s="1"/>
      <c r="C26" s="1"/>
      <c r="D26" s="1"/>
      <c r="E26" s="1"/>
      <c r="F26" s="1"/>
      <c r="G26" s="1"/>
      <c r="H26" s="1"/>
      <c r="I26" s="1"/>
      <c r="J26" s="1"/>
    </row>
    <row r="27" spans="1:10" customFormat="1">
      <c r="A27" s="10"/>
      <c r="B27" s="1"/>
      <c r="C27" s="1"/>
      <c r="D27" s="1"/>
      <c r="E27" s="1"/>
      <c r="F27" s="1"/>
      <c r="G27" s="1"/>
      <c r="H27" s="1"/>
      <c r="I27" s="1"/>
      <c r="J27" s="1"/>
    </row>
    <row r="28" spans="1:10" customFormat="1">
      <c r="A28" s="10"/>
      <c r="B28" s="1"/>
      <c r="C28" s="1"/>
      <c r="D28" s="1"/>
      <c r="E28" s="1"/>
      <c r="F28" s="1"/>
      <c r="G28" s="1"/>
      <c r="H28" s="1"/>
      <c r="I28" s="1"/>
      <c r="J28" s="1"/>
    </row>
    <row r="29" spans="1:10" customFormat="1">
      <c r="A29" s="10"/>
      <c r="B29" s="1"/>
      <c r="C29" s="1"/>
      <c r="D29" s="1"/>
      <c r="E29" s="1"/>
      <c r="F29" s="1"/>
      <c r="G29" s="1"/>
      <c r="H29" s="1"/>
      <c r="I29" s="1"/>
      <c r="J29" s="1"/>
    </row>
    <row r="30" spans="1:10" customFormat="1">
      <c r="A30" s="10"/>
      <c r="B30" s="1"/>
      <c r="C30" s="1"/>
      <c r="D30" s="1"/>
      <c r="E30" s="1"/>
      <c r="F30" s="1"/>
      <c r="G30" s="1"/>
      <c r="H30" s="1"/>
      <c r="I30" s="1"/>
      <c r="J30" s="1"/>
    </row>
    <row r="31" spans="1:10" customFormat="1">
      <c r="A31" s="10"/>
      <c r="B31" s="1"/>
      <c r="C31" s="1"/>
      <c r="D31" s="1"/>
      <c r="E31" s="1"/>
      <c r="F31" s="1"/>
      <c r="G31" s="1"/>
      <c r="H31" s="1"/>
      <c r="I31" s="1"/>
      <c r="J31" s="1"/>
    </row>
    <row r="32" spans="1:10" customFormat="1">
      <c r="A32" s="10"/>
      <c r="B32" s="1"/>
      <c r="C32" s="1"/>
      <c r="D32" s="1"/>
      <c r="E32" s="1"/>
      <c r="F32" s="1"/>
      <c r="G32" s="1"/>
      <c r="H32" s="1"/>
      <c r="I32" s="1"/>
      <c r="J32" s="1"/>
    </row>
    <row r="33" spans="1:10" customFormat="1">
      <c r="A33" s="10"/>
      <c r="B33" s="1"/>
      <c r="C33" s="1"/>
      <c r="D33" s="1"/>
      <c r="E33" s="1"/>
      <c r="F33" s="1"/>
      <c r="G33" s="1"/>
      <c r="H33" s="1"/>
      <c r="I33" s="1"/>
      <c r="J33" s="1"/>
    </row>
    <row r="34" spans="1:10" customFormat="1">
      <c r="A34" s="10"/>
      <c r="B34" s="1"/>
      <c r="C34" s="1"/>
      <c r="D34" s="1"/>
      <c r="E34" s="1"/>
      <c r="F34" s="1"/>
      <c r="G34" s="1"/>
      <c r="H34" s="1"/>
      <c r="I34" s="1"/>
      <c r="J34" s="1"/>
    </row>
    <row r="35" spans="1:10" customFormat="1">
      <c r="A35" s="10"/>
      <c r="B35" s="1"/>
      <c r="C35" s="1"/>
      <c r="D35" s="1"/>
      <c r="E35" s="1"/>
      <c r="F35" s="1"/>
      <c r="G35" s="1"/>
      <c r="H35" s="1"/>
      <c r="I35" s="1"/>
      <c r="J35" s="1"/>
    </row>
    <row r="36" spans="1:10" customFormat="1">
      <c r="A36" s="10"/>
      <c r="B36" s="1"/>
      <c r="C36" s="1"/>
      <c r="D36" s="1"/>
      <c r="E36" s="1"/>
      <c r="F36" s="1"/>
      <c r="G36" s="1"/>
      <c r="H36" s="1"/>
      <c r="I36" s="1"/>
      <c r="J36" s="1"/>
    </row>
    <row r="37" spans="1:10" customFormat="1">
      <c r="A37" s="10"/>
      <c r="B37" s="1"/>
      <c r="C37" s="1"/>
      <c r="D37" s="1"/>
      <c r="E37" s="1"/>
      <c r="F37" s="1"/>
      <c r="G37" s="1"/>
      <c r="H37" s="1"/>
      <c r="I37" s="1"/>
      <c r="J37" s="1"/>
    </row>
    <row r="38" spans="1:10" customFormat="1">
      <c r="A38" s="10"/>
      <c r="B38" s="1"/>
      <c r="C38" s="1"/>
      <c r="D38" s="1"/>
      <c r="E38" s="1"/>
      <c r="F38" s="1"/>
      <c r="G38" s="1"/>
      <c r="H38" s="1"/>
      <c r="I38" s="1"/>
      <c r="J38" s="1"/>
    </row>
    <row r="39" spans="1:10" customFormat="1">
      <c r="A39" s="10"/>
      <c r="B39" s="1"/>
      <c r="C39" s="1"/>
      <c r="D39" s="1"/>
      <c r="E39" s="1"/>
      <c r="F39" s="1"/>
      <c r="G39" s="1"/>
      <c r="H39" s="1"/>
      <c r="I39" s="1"/>
      <c r="J39" s="1"/>
    </row>
    <row r="40" spans="1:10" customFormat="1">
      <c r="A40" s="10"/>
      <c r="B40" s="1"/>
      <c r="C40" s="1"/>
      <c r="D40" s="1"/>
      <c r="E40" s="1"/>
      <c r="F40" s="1"/>
      <c r="G40" s="1"/>
      <c r="H40" s="1"/>
      <c r="I40" s="1"/>
      <c r="J40" s="1"/>
    </row>
    <row r="41" spans="1:10" customFormat="1">
      <c r="A41" s="10"/>
      <c r="B41" s="1"/>
      <c r="C41" s="1"/>
      <c r="D41" s="1"/>
      <c r="E41" s="1"/>
      <c r="F41" s="1"/>
      <c r="G41" s="1"/>
      <c r="H41" s="1"/>
      <c r="I41" s="1"/>
      <c r="J41" s="1"/>
    </row>
    <row r="42" spans="1:10" customFormat="1">
      <c r="A42" s="10"/>
      <c r="B42" s="1"/>
      <c r="C42" s="1"/>
      <c r="D42" s="1"/>
      <c r="E42" s="1"/>
      <c r="F42" s="1"/>
      <c r="G42" s="1"/>
      <c r="H42" s="1"/>
      <c r="I42" s="1"/>
      <c r="J42" s="1"/>
    </row>
    <row r="43" spans="1:10" customFormat="1">
      <c r="A43" s="10"/>
      <c r="B43" s="1"/>
      <c r="C43" s="1"/>
      <c r="D43" s="1"/>
      <c r="E43" s="1"/>
      <c r="F43" s="1"/>
      <c r="G43" s="1"/>
      <c r="H43" s="1"/>
      <c r="I43" s="1"/>
      <c r="J43" s="1"/>
    </row>
    <row r="44" spans="1:10" customFormat="1">
      <c r="A44" s="10"/>
      <c r="B44" s="1"/>
      <c r="C44" s="1"/>
      <c r="D44" s="1"/>
      <c r="E44" s="1"/>
      <c r="F44" s="1"/>
      <c r="G44" s="1"/>
      <c r="H44" s="1"/>
      <c r="I44" s="1"/>
      <c r="J44" s="1"/>
    </row>
    <row r="45" spans="1:10" customFormat="1">
      <c r="A45" s="10"/>
      <c r="B45" s="1"/>
      <c r="C45" s="1"/>
      <c r="D45" s="1"/>
      <c r="E45" s="1"/>
      <c r="F45" s="1"/>
      <c r="G45" s="1"/>
      <c r="H45" s="1"/>
      <c r="I45" s="1"/>
      <c r="J45" s="1"/>
    </row>
    <row r="46" spans="1:10" customFormat="1">
      <c r="A46" s="10"/>
      <c r="B46" s="1"/>
      <c r="C46" s="1"/>
      <c r="D46" s="1"/>
      <c r="E46" s="1"/>
      <c r="F46" s="1"/>
      <c r="G46" s="1"/>
      <c r="H46" s="1"/>
      <c r="I46" s="1"/>
      <c r="J46" s="1"/>
    </row>
    <row r="47" spans="1:10" customFormat="1">
      <c r="A47" s="10"/>
      <c r="B47" s="1"/>
      <c r="C47" s="1"/>
      <c r="D47" s="1"/>
      <c r="E47" s="1"/>
      <c r="F47" s="1"/>
      <c r="G47" s="1"/>
      <c r="H47" s="1"/>
      <c r="I47" s="1"/>
      <c r="J47" s="1"/>
    </row>
    <row r="48" spans="1:10" customFormat="1">
      <c r="A48" s="10"/>
      <c r="B48" s="1"/>
      <c r="C48" s="1"/>
      <c r="D48" s="1"/>
      <c r="E48" s="1"/>
      <c r="F48" s="1"/>
      <c r="G48" s="1"/>
      <c r="H48" s="1"/>
      <c r="I48" s="1"/>
      <c r="J48" s="1"/>
    </row>
    <row r="49" spans="1:10" customFormat="1">
      <c r="A49" s="10"/>
      <c r="B49" s="1"/>
      <c r="C49" s="1"/>
      <c r="D49" s="1"/>
      <c r="E49" s="1"/>
      <c r="F49" s="1"/>
      <c r="G49" s="1"/>
      <c r="H49" s="1"/>
      <c r="I49" s="1"/>
      <c r="J49" s="1"/>
    </row>
  </sheetData>
  <sheetProtection password="B6E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4"/>
  <dimension ref="A1:XFD443"/>
  <sheetViews>
    <sheetView tabSelected="1" topLeftCell="A79" workbookViewId="0">
      <selection activeCell="D97" sqref="D97"/>
    </sheetView>
  </sheetViews>
  <sheetFormatPr baseColWidth="10" defaultColWidth="7.5703125" defaultRowHeight="0" customHeight="1" zeroHeight="1"/>
  <cols>
    <col min="1" max="1" width="98.140625" style="10" customWidth="1"/>
    <col min="2" max="2" width="10" style="2" customWidth="1"/>
    <col min="3" max="3" width="15.140625" style="2" customWidth="1"/>
    <col min="4" max="4" width="51.85546875" style="2" bestFit="1" customWidth="1"/>
    <col min="5" max="5" width="11.5703125" style="1" customWidth="1"/>
    <col min="6" max="10" width="11.42578125" style="2" customWidth="1"/>
    <col min="11" max="14" width="7.5703125" style="55"/>
    <col min="15" max="15" width="7.5703125" style="43"/>
    <col min="16" max="251" width="7.5703125" style="42"/>
    <col min="252" max="256" width="7.5703125" style="55"/>
    <col min="257" max="16359" width="7.5703125" style="42"/>
    <col min="16360" max="16360" width="13" style="42" bestFit="1" customWidth="1"/>
    <col min="16361" max="16361" width="59.7109375" style="42" bestFit="1" customWidth="1"/>
    <col min="16362" max="16364" width="7.5703125" style="42"/>
    <col min="16365" max="16365" width="51.85546875" style="42" bestFit="1" customWidth="1"/>
    <col min="16366" max="16366" width="34.42578125" style="42" bestFit="1" customWidth="1"/>
    <col min="16367" max="16367" width="51.85546875" style="42" bestFit="1" customWidth="1"/>
    <col min="16368" max="16369" width="51.85546875" style="55" bestFit="1" customWidth="1"/>
    <col min="16370" max="16370" width="51.85546875" style="42" bestFit="1" customWidth="1"/>
    <col min="16371" max="16371" width="51.85546875" style="55" bestFit="1" customWidth="1"/>
    <col min="16372" max="16372" width="51.85546875" style="42" bestFit="1" customWidth="1"/>
    <col min="16373" max="16373" width="51.85546875" style="55" bestFit="1" customWidth="1"/>
    <col min="16374" max="16374" width="51.85546875" style="42" bestFit="1" customWidth="1"/>
    <col min="16375" max="16375" width="51.85546875" style="55" bestFit="1" customWidth="1"/>
    <col min="16376" max="16376" width="51.85546875" style="42" bestFit="1" customWidth="1"/>
    <col min="16377" max="16377" width="35.28515625" style="42" bestFit="1" customWidth="1"/>
    <col min="16378" max="16378" width="7.5703125" style="42"/>
    <col min="16379" max="16379" width="9.42578125" style="42" bestFit="1" customWidth="1"/>
    <col min="16380" max="16380" width="20.7109375" style="43" bestFit="1" customWidth="1"/>
    <col min="16381" max="16381" width="35.28515625" style="42" bestFit="1" customWidth="1"/>
    <col min="16382" max="16382" width="7.85546875" style="42" bestFit="1" customWidth="1"/>
    <col min="16383" max="16383" width="5.5703125" style="42" bestFit="1" customWidth="1"/>
    <col min="16384" max="16384" width="7.5703125" style="42"/>
  </cols>
  <sheetData>
    <row r="1" spans="1:256 16359:16384" ht="15.75" thickBot="1">
      <c r="A1" s="10" t="s">
        <v>0</v>
      </c>
      <c r="B1" s="3"/>
      <c r="C1" s="80" t="s">
        <v>131</v>
      </c>
      <c r="D1" s="81"/>
      <c r="E1" s="13"/>
      <c r="F1" s="3"/>
      <c r="IR1" s="42"/>
      <c r="IS1" s="42"/>
      <c r="IT1" s="42"/>
      <c r="IU1" s="42"/>
      <c r="IV1" s="42"/>
      <c r="XEE1" s="42" t="s">
        <v>55</v>
      </c>
      <c r="XEF1" s="42" t="s">
        <v>490</v>
      </c>
      <c r="XEG1" s="42" t="s">
        <v>491</v>
      </c>
      <c r="XEK1" s="42" t="s">
        <v>530</v>
      </c>
      <c r="XEL1" s="42" t="s">
        <v>132</v>
      </c>
      <c r="XEM1" s="42" t="s">
        <v>529</v>
      </c>
      <c r="XEN1" s="42" t="s">
        <v>527</v>
      </c>
      <c r="XEO1" s="42" t="s">
        <v>524</v>
      </c>
      <c r="XEP1" s="42" t="s">
        <v>523</v>
      </c>
      <c r="XEQ1" s="42" t="s">
        <v>522</v>
      </c>
      <c r="XER1" s="42" t="s">
        <v>521</v>
      </c>
      <c r="XES1" s="42" t="s">
        <v>528</v>
      </c>
      <c r="XET1" s="42" t="s">
        <v>525</v>
      </c>
      <c r="XEU1" s="42" t="s">
        <v>526</v>
      </c>
      <c r="XEV1" s="42" t="s">
        <v>527</v>
      </c>
      <c r="XEW1" s="42" t="s">
        <v>499</v>
      </c>
      <c r="XFA1" s="42" t="s">
        <v>500</v>
      </c>
    </row>
    <row r="2" spans="1:256 16359:16384" ht="15.75" thickBot="1">
      <c r="A2" s="10" t="s">
        <v>49</v>
      </c>
      <c r="IR2" s="42"/>
      <c r="IS2" s="42"/>
      <c r="IT2" s="42"/>
      <c r="IU2" s="42"/>
      <c r="IV2" s="42"/>
      <c r="XEE2" s="42" t="s">
        <v>132</v>
      </c>
      <c r="XEF2" s="42" t="s">
        <v>492</v>
      </c>
      <c r="XEG2" s="42" t="s">
        <v>492</v>
      </c>
      <c r="XEK2" s="42" t="s">
        <v>441</v>
      </c>
      <c r="XEL2" s="42" t="s">
        <v>441</v>
      </c>
      <c r="XEM2" s="42" t="s">
        <v>441</v>
      </c>
      <c r="XEN2" s="42" t="s">
        <v>441</v>
      </c>
      <c r="XEO2" s="42" t="s">
        <v>441</v>
      </c>
      <c r="XEP2" s="42" t="s">
        <v>441</v>
      </c>
      <c r="XEQ2" s="42" t="s">
        <v>441</v>
      </c>
      <c r="XER2" s="42" t="s">
        <v>441</v>
      </c>
      <c r="XES2" s="42" t="s">
        <v>441</v>
      </c>
      <c r="XET2" s="42" t="s">
        <v>441</v>
      </c>
      <c r="XEU2" s="42" t="s">
        <v>441</v>
      </c>
      <c r="XEV2" s="42" t="s">
        <v>441</v>
      </c>
      <c r="XEW2" s="42" t="s">
        <v>441</v>
      </c>
      <c r="XEX2" s="42" t="s">
        <v>436</v>
      </c>
      <c r="XEY2" s="42" t="s">
        <v>133</v>
      </c>
      <c r="XEZ2" s="43" t="s">
        <v>63</v>
      </c>
      <c r="XFA2" s="42" t="s">
        <v>441</v>
      </c>
      <c r="XFB2" s="42" t="s">
        <v>58</v>
      </c>
      <c r="XFC2" s="42" t="s">
        <v>59</v>
      </c>
      <c r="XFD2" s="42" t="s">
        <v>61</v>
      </c>
    </row>
    <row r="3" spans="1:256 16359:16384" ht="15.75" thickBot="1">
      <c r="A3" s="10" t="s">
        <v>0</v>
      </c>
      <c r="B3" s="4" t="s">
        <v>59</v>
      </c>
      <c r="C3" s="4" t="s">
        <v>55</v>
      </c>
      <c r="D3" s="4" t="s">
        <v>60</v>
      </c>
      <c r="E3" s="4" t="s">
        <v>486</v>
      </c>
      <c r="IR3" s="42"/>
      <c r="IS3" s="42"/>
      <c r="IT3" s="42"/>
      <c r="IU3" s="42"/>
      <c r="IV3" s="42"/>
      <c r="XEE3" s="42" t="s">
        <v>531</v>
      </c>
      <c r="XEG3" s="42" t="s">
        <v>495</v>
      </c>
      <c r="XEK3" s="42" t="s">
        <v>501</v>
      </c>
      <c r="XEL3" s="42" t="s">
        <v>442</v>
      </c>
      <c r="XEM3" s="42" t="s">
        <v>504</v>
      </c>
      <c r="XEN3" s="42" t="s">
        <v>501</v>
      </c>
      <c r="XEO3" s="42" t="s">
        <v>513</v>
      </c>
      <c r="XEP3" s="42" t="s">
        <v>501</v>
      </c>
      <c r="XEQ3" s="42" t="s">
        <v>504</v>
      </c>
      <c r="XER3" s="42" t="s">
        <v>501</v>
      </c>
      <c r="XES3" s="42" t="s">
        <v>513</v>
      </c>
      <c r="XET3" s="42" t="s">
        <v>501</v>
      </c>
      <c r="XEU3" s="42" t="s">
        <v>504</v>
      </c>
      <c r="XEV3" s="42" t="s">
        <v>501</v>
      </c>
      <c r="XEW3" s="42" t="s">
        <v>470</v>
      </c>
      <c r="XEX3" s="42" t="s">
        <v>437</v>
      </c>
      <c r="XEY3" s="42" t="s">
        <v>439</v>
      </c>
      <c r="XEZ3" s="43" t="s">
        <v>64</v>
      </c>
      <c r="XFA3" s="42" t="s">
        <v>442</v>
      </c>
      <c r="XFB3" s="42" t="s">
        <v>57</v>
      </c>
      <c r="XFC3" s="42">
        <v>0</v>
      </c>
      <c r="XFD3" s="42" t="s">
        <v>56</v>
      </c>
    </row>
    <row r="4" spans="1:256 16359:16384" ht="15">
      <c r="B4" s="77">
        <v>1</v>
      </c>
      <c r="C4" s="48" t="s">
        <v>440</v>
      </c>
      <c r="D4" s="44" t="s">
        <v>51</v>
      </c>
      <c r="E4" s="5">
        <v>1</v>
      </c>
      <c r="IR4" s="42"/>
      <c r="IS4" s="42"/>
      <c r="IT4" s="42"/>
      <c r="IU4" s="42"/>
      <c r="IV4" s="42"/>
      <c r="XEE4" s="42" t="s">
        <v>532</v>
      </c>
      <c r="XEG4" s="42" t="s">
        <v>496</v>
      </c>
      <c r="XEK4" s="42" t="s">
        <v>502</v>
      </c>
      <c r="XEL4" s="42" t="s">
        <v>443</v>
      </c>
      <c r="XEM4" s="42" t="s">
        <v>505</v>
      </c>
      <c r="XEN4" s="42" t="s">
        <v>502</v>
      </c>
      <c r="XEO4" s="42" t="s">
        <v>514</v>
      </c>
      <c r="XEP4" s="42" t="s">
        <v>502</v>
      </c>
      <c r="XEQ4" s="42" t="s">
        <v>505</v>
      </c>
      <c r="XER4" s="42" t="s">
        <v>502</v>
      </c>
      <c r="XES4" s="42" t="s">
        <v>514</v>
      </c>
      <c r="XET4" s="42" t="s">
        <v>502</v>
      </c>
      <c r="XEU4" s="42" t="s">
        <v>505</v>
      </c>
      <c r="XEV4" s="42" t="s">
        <v>502</v>
      </c>
      <c r="XEW4" s="42" t="s">
        <v>471</v>
      </c>
      <c r="XEX4" s="42" t="s">
        <v>438</v>
      </c>
      <c r="XEZ4" s="43" t="s">
        <v>65</v>
      </c>
      <c r="XFA4" s="42" t="s">
        <v>443</v>
      </c>
      <c r="XFB4" s="42" t="s">
        <v>435</v>
      </c>
      <c r="XFC4" s="42">
        <v>1</v>
      </c>
      <c r="XFD4" s="42" t="s">
        <v>62</v>
      </c>
    </row>
    <row r="5" spans="1:256 16359:16384" ht="15">
      <c r="A5" s="10" t="s">
        <v>544</v>
      </c>
      <c r="B5" s="78"/>
      <c r="C5" s="45" t="s">
        <v>52</v>
      </c>
      <c r="D5" s="45" t="s">
        <v>53</v>
      </c>
      <c r="E5" s="6">
        <v>2</v>
      </c>
      <c r="IR5" s="42"/>
      <c r="IS5" s="42"/>
      <c r="IT5" s="42"/>
      <c r="IU5" s="42"/>
      <c r="IV5" s="42"/>
      <c r="XEG5" s="42" t="s">
        <v>497</v>
      </c>
      <c r="XEK5" s="42" t="s">
        <v>503</v>
      </c>
      <c r="XEL5" s="42" t="s">
        <v>444</v>
      </c>
      <c r="XEM5" s="42" t="s">
        <v>506</v>
      </c>
      <c r="XEN5" s="42" t="s">
        <v>503</v>
      </c>
      <c r="XEO5" s="42" t="s">
        <v>515</v>
      </c>
      <c r="XEP5" s="42" t="s">
        <v>503</v>
      </c>
      <c r="XEQ5" s="42" t="s">
        <v>506</v>
      </c>
      <c r="XER5" s="42" t="s">
        <v>503</v>
      </c>
      <c r="XES5" s="42" t="s">
        <v>515</v>
      </c>
      <c r="XET5" s="42" t="s">
        <v>503</v>
      </c>
      <c r="XEU5" s="42" t="s">
        <v>506</v>
      </c>
      <c r="XEV5" s="42" t="s">
        <v>503</v>
      </c>
      <c r="XEW5" s="42" t="s">
        <v>472</v>
      </c>
      <c r="XEX5" s="42" t="s">
        <v>52</v>
      </c>
      <c r="XFA5" s="42" t="s">
        <v>444</v>
      </c>
      <c r="XFB5" s="42" t="s">
        <v>52</v>
      </c>
      <c r="XFC5" s="42">
        <v>2</v>
      </c>
      <c r="XFD5" s="42" t="s">
        <v>440</v>
      </c>
    </row>
    <row r="6" spans="1:256 16359:16384" ht="15">
      <c r="A6" s="10" t="s">
        <v>545</v>
      </c>
      <c r="B6" s="78"/>
      <c r="C6" s="45" t="s">
        <v>52</v>
      </c>
      <c r="D6" s="45" t="str">
        <f>IF(C6="SHIM4T","Dummy","Packet Control Unit")</f>
        <v>Dummy</v>
      </c>
      <c r="E6" s="6">
        <v>3</v>
      </c>
      <c r="IR6" s="42"/>
      <c r="IS6" s="42"/>
      <c r="IT6" s="42"/>
      <c r="IU6" s="42"/>
      <c r="IV6" s="42"/>
      <c r="XEG6" s="42" t="s">
        <v>498</v>
      </c>
      <c r="XEK6" s="42" t="s">
        <v>508</v>
      </c>
      <c r="XEL6" s="42" t="s">
        <v>445</v>
      </c>
      <c r="XEM6" s="42" t="s">
        <v>507</v>
      </c>
      <c r="XEN6" s="42" t="s">
        <v>508</v>
      </c>
      <c r="XEO6" s="42" t="s">
        <v>516</v>
      </c>
      <c r="XEP6" s="42" t="s">
        <v>508</v>
      </c>
      <c r="XEQ6" s="42" t="s">
        <v>507</v>
      </c>
      <c r="XER6" s="42" t="s">
        <v>508</v>
      </c>
      <c r="XES6" s="42" t="s">
        <v>516</v>
      </c>
      <c r="XET6" s="42" t="s">
        <v>508</v>
      </c>
      <c r="XEU6" s="42" t="s">
        <v>507</v>
      </c>
      <c r="XEV6" s="42" t="s">
        <v>508</v>
      </c>
      <c r="XEW6" s="42" t="s">
        <v>473</v>
      </c>
      <c r="XFA6" s="42" t="s">
        <v>445</v>
      </c>
      <c r="XFC6" s="42">
        <v>3</v>
      </c>
    </row>
    <row r="7" spans="1:256 16359:16384" ht="15">
      <c r="A7" s="10" t="s">
        <v>546</v>
      </c>
      <c r="B7" s="78"/>
      <c r="C7" s="49" t="s">
        <v>52</v>
      </c>
      <c r="D7" s="45" t="str">
        <f>IF(C7="SHIM4T","Dummy","Packet Control Unit")</f>
        <v>Dummy</v>
      </c>
      <c r="E7" s="6">
        <v>4</v>
      </c>
      <c r="IR7" s="42"/>
      <c r="IS7" s="42"/>
      <c r="IT7" s="42"/>
      <c r="IU7" s="42"/>
      <c r="IV7" s="42"/>
      <c r="XEG7" s="42" t="s">
        <v>493</v>
      </c>
      <c r="XEK7" s="42" t="s">
        <v>504</v>
      </c>
      <c r="XEL7" s="42" t="s">
        <v>446</v>
      </c>
      <c r="XEM7" s="55"/>
      <c r="XEN7" s="42"/>
      <c r="XEO7" s="42" t="s">
        <v>517</v>
      </c>
      <c r="XEP7" s="42" t="s">
        <v>509</v>
      </c>
      <c r="XES7" s="42" t="s">
        <v>517</v>
      </c>
      <c r="XET7" s="42" t="s">
        <v>509</v>
      </c>
      <c r="XEW7" s="42" t="s">
        <v>474</v>
      </c>
      <c r="XFA7" s="42" t="s">
        <v>446</v>
      </c>
      <c r="XFC7" s="42">
        <v>4</v>
      </c>
    </row>
    <row r="8" spans="1:256 16359:16384" ht="15">
      <c r="A8" s="10" t="s">
        <v>547</v>
      </c>
      <c r="B8" s="78"/>
      <c r="C8" s="49" t="s">
        <v>52</v>
      </c>
      <c r="D8" s="45" t="str">
        <f>IF(C8="SHIM4T","Dummy","Packet Control Unit")</f>
        <v>Dummy</v>
      </c>
      <c r="E8" s="6">
        <v>5</v>
      </c>
      <c r="IR8" s="42"/>
      <c r="IS8" s="42"/>
      <c r="IT8" s="42"/>
      <c r="IU8" s="42"/>
      <c r="IV8" s="42"/>
      <c r="XEG8" s="42" t="s">
        <v>494</v>
      </c>
      <c r="XEK8" s="42" t="s">
        <v>505</v>
      </c>
      <c r="XEL8" s="42" t="s">
        <v>447</v>
      </c>
      <c r="XEM8" s="55"/>
      <c r="XEN8" s="42"/>
      <c r="XEO8" s="42" t="s">
        <v>518</v>
      </c>
      <c r="XEP8" s="42" t="s">
        <v>510</v>
      </c>
      <c r="XES8" s="42" t="s">
        <v>518</v>
      </c>
      <c r="XET8" s="42" t="s">
        <v>510</v>
      </c>
      <c r="XEW8" s="42" t="s">
        <v>475</v>
      </c>
      <c r="XFA8" s="42" t="s">
        <v>447</v>
      </c>
      <c r="XFC8" s="42">
        <v>5</v>
      </c>
    </row>
    <row r="9" spans="1:256 16359:16384" ht="15">
      <c r="A9" s="10" t="s">
        <v>548</v>
      </c>
      <c r="B9" s="78"/>
      <c r="C9" s="49" t="s">
        <v>435</v>
      </c>
      <c r="D9" s="45" t="str">
        <f>IF(C9="SHIM4T","Dummy","Packet Control Unit")</f>
        <v>Packet Control Unit</v>
      </c>
      <c r="E9" s="6">
        <v>6</v>
      </c>
      <c r="IR9" s="42"/>
      <c r="IS9" s="42"/>
      <c r="IT9" s="42"/>
      <c r="IU9" s="42"/>
      <c r="IV9" s="42"/>
      <c r="XEK9" s="42" t="s">
        <v>506</v>
      </c>
      <c r="XEL9" s="42" t="s">
        <v>448</v>
      </c>
      <c r="XEM9" s="55"/>
      <c r="XEN9" s="42"/>
      <c r="XEO9" s="42" t="s">
        <v>519</v>
      </c>
      <c r="XEP9" s="42" t="s">
        <v>511</v>
      </c>
      <c r="XES9" s="42" t="s">
        <v>519</v>
      </c>
      <c r="XET9" s="42" t="s">
        <v>511</v>
      </c>
      <c r="XEW9" s="42" t="s">
        <v>476</v>
      </c>
      <c r="XFA9" s="42" t="s">
        <v>448</v>
      </c>
      <c r="XFC9" s="42">
        <v>6</v>
      </c>
    </row>
    <row r="10" spans="1:256 16359:16384" ht="15">
      <c r="A10" s="10" t="s">
        <v>549</v>
      </c>
      <c r="B10" s="78"/>
      <c r="C10" s="49" t="s">
        <v>435</v>
      </c>
      <c r="D10" s="45" t="str">
        <f>IF(C10="SHIM4T","Dummy","Packet Control Unit")</f>
        <v>Packet Control Unit</v>
      </c>
      <c r="E10" s="6">
        <v>7</v>
      </c>
      <c r="IR10" s="42"/>
      <c r="IS10" s="42"/>
      <c r="IT10" s="42"/>
      <c r="IU10" s="42"/>
      <c r="IV10" s="42"/>
      <c r="XEK10" s="42" t="s">
        <v>507</v>
      </c>
      <c r="XEL10" s="42" t="s">
        <v>449</v>
      </c>
      <c r="XEM10" s="55"/>
      <c r="XEN10" s="42"/>
      <c r="XEO10" s="42" t="s">
        <v>520</v>
      </c>
      <c r="XEP10" s="42" t="s">
        <v>512</v>
      </c>
      <c r="XES10" s="42" t="s">
        <v>520</v>
      </c>
      <c r="XET10" s="42" t="s">
        <v>512</v>
      </c>
      <c r="XEW10" s="42" t="s">
        <v>477</v>
      </c>
      <c r="XFA10" s="42" t="s">
        <v>449</v>
      </c>
    </row>
    <row r="11" spans="1:256 16359:16384" ht="15">
      <c r="A11" s="10" t="s">
        <v>550</v>
      </c>
      <c r="B11" s="78"/>
      <c r="C11" s="45" t="s">
        <v>438</v>
      </c>
      <c r="D11" s="49" t="str">
        <f>IF(C11="SHIM4T","Dummy","Signalling Unit")</f>
        <v>Signalling Unit</v>
      </c>
      <c r="E11" s="6">
        <v>8</v>
      </c>
      <c r="IR11" s="42"/>
      <c r="IS11" s="42"/>
      <c r="IT11" s="42"/>
      <c r="IU11" s="42"/>
      <c r="IV11" s="42"/>
      <c r="XEK11" s="42" t="s">
        <v>501</v>
      </c>
      <c r="XEL11" s="42" t="s">
        <v>450</v>
      </c>
      <c r="XEW11" s="42" t="s">
        <v>478</v>
      </c>
      <c r="XFA11" s="42" t="s">
        <v>450</v>
      </c>
    </row>
    <row r="12" spans="1:256 16359:16384" ht="15">
      <c r="A12" s="10" t="s">
        <v>551</v>
      </c>
      <c r="B12" s="78"/>
      <c r="C12" s="49" t="s">
        <v>438</v>
      </c>
      <c r="D12" s="49" t="str">
        <f>IF(C12="SHIM4T","Dummy","Signalling Unit")</f>
        <v>Signalling Unit</v>
      </c>
      <c r="E12" s="6">
        <v>9</v>
      </c>
      <c r="IR12" s="42"/>
      <c r="IS12" s="42"/>
      <c r="IT12" s="42"/>
      <c r="IU12" s="42"/>
      <c r="IV12" s="42"/>
      <c r="XEK12" s="42" t="s">
        <v>502</v>
      </c>
      <c r="XEL12" s="42" t="s">
        <v>451</v>
      </c>
      <c r="XEW12" s="42" t="s">
        <v>479</v>
      </c>
      <c r="XFA12" s="42" t="s">
        <v>451</v>
      </c>
    </row>
    <row r="13" spans="1:256 16359:16384" ht="15.75" thickBot="1">
      <c r="A13" s="10" t="s">
        <v>552</v>
      </c>
      <c r="B13" s="79"/>
      <c r="C13" s="50" t="s">
        <v>439</v>
      </c>
      <c r="D13" s="46" t="s">
        <v>54</v>
      </c>
      <c r="E13" s="7">
        <v>10</v>
      </c>
      <c r="IR13" s="42"/>
      <c r="IS13" s="42"/>
      <c r="IT13" s="42"/>
      <c r="IU13" s="42"/>
      <c r="IV13" s="42"/>
      <c r="XEK13" s="42" t="s">
        <v>503</v>
      </c>
      <c r="XEL13" s="42" t="s">
        <v>452</v>
      </c>
      <c r="XEW13" s="42" t="s">
        <v>480</v>
      </c>
      <c r="XFA13" s="42" t="s">
        <v>452</v>
      </c>
    </row>
    <row r="14" spans="1:256 16359:16384" ht="15.75" thickBot="1">
      <c r="A14" s="10" t="s">
        <v>553</v>
      </c>
      <c r="IR14" s="42"/>
      <c r="IS14" s="42"/>
      <c r="IT14" s="42"/>
      <c r="IU14" s="42"/>
      <c r="IV14" s="42"/>
      <c r="XEK14" s="42" t="s">
        <v>508</v>
      </c>
      <c r="XEL14" s="42" t="s">
        <v>453</v>
      </c>
      <c r="XEW14" s="42" t="s">
        <v>481</v>
      </c>
      <c r="XFA14" s="42" t="s">
        <v>453</v>
      </c>
    </row>
    <row r="15" spans="1:256 16359:16384" ht="15">
      <c r="A15" s="10" t="s">
        <v>554</v>
      </c>
      <c r="B15" s="1"/>
      <c r="C15" s="1"/>
      <c r="D15" s="56" t="s">
        <v>138</v>
      </c>
      <c r="E15" s="83" t="s">
        <v>64</v>
      </c>
      <c r="IR15" s="42"/>
      <c r="IS15" s="42"/>
      <c r="IT15" s="42"/>
      <c r="IU15" s="42"/>
      <c r="IV15" s="42"/>
      <c r="XEK15" s="42" t="s">
        <v>509</v>
      </c>
      <c r="XEL15" s="42" t="s">
        <v>454</v>
      </c>
      <c r="XEW15" s="42" t="s">
        <v>482</v>
      </c>
      <c r="XFA15" s="42" t="s">
        <v>454</v>
      </c>
    </row>
    <row r="16" spans="1:256 16359:16384" ht="15.75" thickBot="1">
      <c r="A16" s="10" t="s">
        <v>555</v>
      </c>
      <c r="B16" s="1"/>
      <c r="C16" s="1"/>
      <c r="D16" s="57" t="s">
        <v>136</v>
      </c>
      <c r="E16" s="84"/>
      <c r="IR16" s="42"/>
      <c r="IS16" s="42"/>
      <c r="IT16" s="42"/>
      <c r="IU16" s="42"/>
      <c r="IV16" s="42"/>
      <c r="XEK16" s="42" t="s">
        <v>510</v>
      </c>
      <c r="XEL16" s="42" t="s">
        <v>455</v>
      </c>
      <c r="XEW16" s="42" t="s">
        <v>483</v>
      </c>
      <c r="XFA16" s="42" t="s">
        <v>455</v>
      </c>
    </row>
    <row r="17" spans="1:256 16365:16381" ht="15.75" thickBot="1">
      <c r="A17" s="10" t="s">
        <v>556</v>
      </c>
      <c r="B17" s="4" t="s">
        <v>535</v>
      </c>
      <c r="C17" s="1"/>
      <c r="D17" s="58" t="s">
        <v>137</v>
      </c>
      <c r="E17" s="85"/>
      <c r="IR17" s="42"/>
      <c r="IS17" s="42"/>
      <c r="IT17" s="42"/>
      <c r="IU17" s="42"/>
      <c r="IV17" s="42"/>
      <c r="XEK17" s="42" t="s">
        <v>511</v>
      </c>
      <c r="XEL17" s="42" t="s">
        <v>456</v>
      </c>
      <c r="XEW17" s="42" t="s">
        <v>484</v>
      </c>
      <c r="XFA17" s="42" t="s">
        <v>456</v>
      </c>
    </row>
    <row r="18" spans="1:256 16365:16381" ht="15.75" thickBot="1">
      <c r="A18" s="10" t="s">
        <v>557</v>
      </c>
      <c r="B18" s="52" t="s">
        <v>64</v>
      </c>
      <c r="C18" s="1"/>
      <c r="D18" s="51" t="s">
        <v>139</v>
      </c>
      <c r="E18" s="84" t="s">
        <v>64</v>
      </c>
      <c r="F18" s="60"/>
      <c r="IR18" s="42"/>
      <c r="IS18" s="42"/>
      <c r="IT18" s="42"/>
      <c r="IU18" s="42"/>
      <c r="IV18" s="42"/>
      <c r="XEK18" s="42" t="s">
        <v>512</v>
      </c>
      <c r="XEL18" s="42" t="s">
        <v>487</v>
      </c>
      <c r="XEW18" s="42" t="s">
        <v>485</v>
      </c>
      <c r="XFA18" s="42" t="s">
        <v>487</v>
      </c>
    </row>
    <row r="19" spans="1:256 16365:16381" ht="15">
      <c r="B19" s="1"/>
      <c r="C19" s="1"/>
      <c r="D19" s="51" t="s">
        <v>134</v>
      </c>
      <c r="E19" s="84"/>
      <c r="F19" s="60"/>
      <c r="IR19" s="42"/>
      <c r="IS19" s="42"/>
      <c r="IT19" s="42"/>
      <c r="IU19" s="42"/>
      <c r="IV19" s="42"/>
      <c r="XEL19" s="42" t="s">
        <v>457</v>
      </c>
      <c r="XFA19" s="42" t="s">
        <v>457</v>
      </c>
    </row>
    <row r="20" spans="1:256 16365:16381" ht="15.75" thickBot="1">
      <c r="A20" s="10" t="s">
        <v>558</v>
      </c>
      <c r="B20" s="1"/>
      <c r="C20" s="1"/>
      <c r="D20" s="52" t="s">
        <v>135</v>
      </c>
      <c r="E20" s="85"/>
      <c r="F20" s="60"/>
      <c r="IR20" s="42"/>
      <c r="IS20" s="42"/>
      <c r="IT20" s="42"/>
      <c r="IU20" s="42"/>
      <c r="IV20" s="42"/>
      <c r="XEL20" s="42" t="s">
        <v>458</v>
      </c>
      <c r="XFA20" s="42" t="s">
        <v>458</v>
      </c>
    </row>
    <row r="21" spans="1:256 16365:16381" ht="15.75" thickBot="1">
      <c r="A21" s="10" t="s">
        <v>559</v>
      </c>
      <c r="E21" s="2"/>
      <c r="F21" s="61"/>
      <c r="IR21" s="42"/>
      <c r="IS21" s="42"/>
      <c r="IT21" s="42"/>
      <c r="IU21" s="42"/>
      <c r="IV21" s="42"/>
      <c r="XEL21" s="42" t="s">
        <v>459</v>
      </c>
      <c r="XFA21" s="42" t="s">
        <v>459</v>
      </c>
    </row>
    <row r="22" spans="1:256 16365:16381" ht="15.75" thickBot="1">
      <c r="A22" s="10" t="s">
        <v>560</v>
      </c>
      <c r="B22" s="80" t="s">
        <v>534</v>
      </c>
      <c r="C22" s="82"/>
      <c r="D22" s="82"/>
      <c r="E22" s="81"/>
      <c r="F22" s="60" t="s">
        <v>575</v>
      </c>
      <c r="G22" s="2" t="s">
        <v>576</v>
      </c>
      <c r="H22" s="2" t="s">
        <v>577</v>
      </c>
      <c r="I22" s="2" t="s">
        <v>578</v>
      </c>
      <c r="J22" s="2" t="s">
        <v>577</v>
      </c>
      <c r="IR22" s="42"/>
      <c r="IS22" s="42"/>
      <c r="IT22" s="42"/>
      <c r="IU22" s="42"/>
      <c r="IV22" s="42"/>
      <c r="XEL22" s="42" t="s">
        <v>460</v>
      </c>
      <c r="XFA22" s="42" t="s">
        <v>460</v>
      </c>
    </row>
    <row r="23" spans="1:256 16365:16381" ht="15" customHeight="1">
      <c r="B23" s="71" t="s">
        <v>543</v>
      </c>
      <c r="C23" s="72"/>
      <c r="D23" s="59" t="s">
        <v>449</v>
      </c>
      <c r="E23" s="56" t="s">
        <v>64</v>
      </c>
      <c r="F23" s="60">
        <v>1</v>
      </c>
      <c r="G23" s="2">
        <v>1</v>
      </c>
      <c r="H23" s="2">
        <f>(G23-F23)+1</f>
        <v>1</v>
      </c>
      <c r="I23" s="2">
        <v>1</v>
      </c>
      <c r="J23" s="2">
        <f>(I23-H23)+1</f>
        <v>1</v>
      </c>
      <c r="IR23" s="42"/>
      <c r="IS23" s="42"/>
      <c r="IT23" s="42"/>
      <c r="IU23" s="42"/>
      <c r="IV23" s="42"/>
      <c r="XEL23" s="42" t="s">
        <v>461</v>
      </c>
      <c r="XFA23" s="42" t="s">
        <v>461</v>
      </c>
    </row>
    <row r="24" spans="1:256 16365:16381" ht="15">
      <c r="A24" s="10" t="s">
        <v>573</v>
      </c>
      <c r="B24" s="73"/>
      <c r="C24" s="74"/>
      <c r="D24" s="53" t="s">
        <v>442</v>
      </c>
      <c r="E24" s="57" t="s">
        <v>64</v>
      </c>
      <c r="F24" s="60">
        <v>2</v>
      </c>
      <c r="G24" s="2">
        <v>2</v>
      </c>
      <c r="H24" s="2">
        <f>G24-G23</f>
        <v>1</v>
      </c>
      <c r="I24" s="2">
        <v>2</v>
      </c>
      <c r="J24" s="2">
        <f>I24-I23</f>
        <v>1</v>
      </c>
      <c r="IR24" s="42"/>
      <c r="IS24" s="42"/>
      <c r="IT24" s="42"/>
      <c r="IU24" s="42"/>
      <c r="IV24" s="42"/>
      <c r="XEL24" s="42" t="s">
        <v>462</v>
      </c>
      <c r="XFA24" s="42" t="s">
        <v>462</v>
      </c>
    </row>
    <row r="25" spans="1:256 16365:16381" ht="15">
      <c r="A25" s="10" t="s">
        <v>561</v>
      </c>
      <c r="B25" s="73"/>
      <c r="C25" s="74"/>
      <c r="D25" s="53" t="s">
        <v>443</v>
      </c>
      <c r="E25" s="57" t="s">
        <v>64</v>
      </c>
      <c r="F25" s="60">
        <v>3</v>
      </c>
      <c r="G25" s="2">
        <v>3</v>
      </c>
      <c r="H25" s="2">
        <f t="shared" ref="H25:H88" si="0">G25-G24</f>
        <v>1</v>
      </c>
      <c r="I25" s="2">
        <v>3</v>
      </c>
      <c r="J25" s="2">
        <f t="shared" ref="J25:J88" si="1">I25-I24</f>
        <v>1</v>
      </c>
      <c r="IR25" s="42"/>
      <c r="IS25" s="42"/>
      <c r="IT25" s="42"/>
      <c r="IU25" s="42"/>
      <c r="IV25" s="42"/>
      <c r="XEL25" s="42" t="s">
        <v>463</v>
      </c>
      <c r="XFA25" s="42" t="s">
        <v>463</v>
      </c>
    </row>
    <row r="26" spans="1:256 16365:16381" ht="15.75" thickBot="1">
      <c r="A26" s="10" t="s">
        <v>562</v>
      </c>
      <c r="B26" s="75"/>
      <c r="C26" s="76"/>
      <c r="D26" s="53" t="s">
        <v>444</v>
      </c>
      <c r="E26" s="57" t="s">
        <v>64</v>
      </c>
      <c r="F26" s="60">
        <v>4</v>
      </c>
      <c r="G26" s="2">
        <v>4</v>
      </c>
      <c r="H26" s="2">
        <f t="shared" si="0"/>
        <v>1</v>
      </c>
      <c r="I26" s="2">
        <v>4</v>
      </c>
      <c r="J26" s="2">
        <f t="shared" si="1"/>
        <v>1</v>
      </c>
      <c r="IR26" s="42"/>
      <c r="IS26" s="42"/>
      <c r="IT26" s="42"/>
      <c r="IU26" s="42"/>
      <c r="IV26" s="42"/>
      <c r="XEL26" s="42" t="s">
        <v>488</v>
      </c>
      <c r="XFA26" s="42" t="s">
        <v>488</v>
      </c>
    </row>
    <row r="27" spans="1:256 16365:16381" ht="15">
      <c r="A27" s="10" t="s">
        <v>563</v>
      </c>
      <c r="B27" s="1"/>
      <c r="C27" s="1"/>
      <c r="D27" s="53" t="s">
        <v>445</v>
      </c>
      <c r="E27" s="57" t="s">
        <v>64</v>
      </c>
      <c r="F27" s="60">
        <v>5</v>
      </c>
      <c r="G27" s="2">
        <v>5</v>
      </c>
      <c r="H27" s="2">
        <f t="shared" si="0"/>
        <v>1</v>
      </c>
      <c r="I27" s="2">
        <v>5</v>
      </c>
      <c r="J27" s="2">
        <f t="shared" si="1"/>
        <v>1</v>
      </c>
      <c r="IR27" s="42"/>
      <c r="IS27" s="42"/>
      <c r="IT27" s="42"/>
      <c r="IU27" s="42"/>
      <c r="IV27" s="42"/>
      <c r="XEL27" s="42" t="s">
        <v>489</v>
      </c>
      <c r="XFA27" s="42" t="s">
        <v>489</v>
      </c>
    </row>
    <row r="28" spans="1:256 16365:16381" ht="15">
      <c r="A28" s="10" t="s">
        <v>564</v>
      </c>
      <c r="B28" s="1"/>
      <c r="C28" s="1"/>
      <c r="D28" s="53" t="s">
        <v>446</v>
      </c>
      <c r="E28" s="57" t="s">
        <v>64</v>
      </c>
      <c r="F28" s="60">
        <v>6</v>
      </c>
      <c r="G28" s="2">
        <v>6</v>
      </c>
      <c r="H28" s="2">
        <f t="shared" si="0"/>
        <v>1</v>
      </c>
      <c r="I28" s="2">
        <v>6</v>
      </c>
      <c r="J28" s="2">
        <f t="shared" si="1"/>
        <v>1</v>
      </c>
      <c r="IR28" s="42"/>
      <c r="IS28" s="42"/>
      <c r="IT28" s="42"/>
      <c r="IU28" s="42"/>
      <c r="IV28" s="42"/>
      <c r="XEL28" s="42" t="s">
        <v>463</v>
      </c>
      <c r="XFA28" s="42" t="s">
        <v>463</v>
      </c>
    </row>
    <row r="29" spans="1:256 16365:16381" ht="15">
      <c r="A29" s="10" t="s">
        <v>565</v>
      </c>
      <c r="B29" s="1"/>
      <c r="C29" s="1"/>
      <c r="D29" s="53" t="s">
        <v>447</v>
      </c>
      <c r="E29" s="57" t="s">
        <v>65</v>
      </c>
      <c r="F29" s="61">
        <v>7</v>
      </c>
      <c r="G29" s="2">
        <v>7</v>
      </c>
      <c r="H29" s="2">
        <f t="shared" si="0"/>
        <v>1</v>
      </c>
      <c r="I29" s="2">
        <v>7</v>
      </c>
      <c r="J29" s="2">
        <f t="shared" si="1"/>
        <v>1</v>
      </c>
      <c r="IR29" s="42"/>
      <c r="IS29" s="42"/>
      <c r="IT29" s="42"/>
      <c r="IU29" s="42"/>
      <c r="IV29" s="42"/>
      <c r="XEL29" s="42" t="s">
        <v>488</v>
      </c>
      <c r="XFA29" s="42" t="s">
        <v>488</v>
      </c>
    </row>
    <row r="30" spans="1:256 16365:16381" ht="15">
      <c r="A30" s="10" t="s">
        <v>566</v>
      </c>
      <c r="B30" s="1"/>
      <c r="C30" s="1"/>
      <c r="D30" s="53" t="s">
        <v>448</v>
      </c>
      <c r="E30" s="57" t="s">
        <v>65</v>
      </c>
      <c r="F30" s="60">
        <v>8</v>
      </c>
      <c r="G30" s="2">
        <v>8</v>
      </c>
      <c r="H30" s="2">
        <f t="shared" si="0"/>
        <v>1</v>
      </c>
      <c r="I30" s="2">
        <v>8</v>
      </c>
      <c r="J30" s="2">
        <f t="shared" si="1"/>
        <v>1</v>
      </c>
      <c r="IR30" s="42"/>
      <c r="IS30" s="42"/>
      <c r="IT30" s="42"/>
      <c r="IU30" s="42"/>
      <c r="IV30" s="42"/>
      <c r="XEL30" s="42" t="s">
        <v>489</v>
      </c>
      <c r="XFA30" s="42" t="s">
        <v>489</v>
      </c>
    </row>
    <row r="31" spans="1:256 16365:16381" ht="15">
      <c r="A31" s="10" t="s">
        <v>579</v>
      </c>
      <c r="B31" s="1"/>
      <c r="C31" s="1"/>
      <c r="D31" s="53" t="s">
        <v>536</v>
      </c>
      <c r="E31" s="57" t="s">
        <v>65</v>
      </c>
      <c r="F31" s="60">
        <v>9</v>
      </c>
      <c r="G31" s="2">
        <v>9</v>
      </c>
      <c r="H31" s="2">
        <f t="shared" si="0"/>
        <v>1</v>
      </c>
      <c r="I31" s="2">
        <v>9</v>
      </c>
      <c r="J31" s="2">
        <f t="shared" si="1"/>
        <v>1</v>
      </c>
      <c r="IR31" s="42"/>
      <c r="IS31" s="42"/>
      <c r="IT31" s="42"/>
      <c r="IU31" s="42"/>
      <c r="IV31" s="42"/>
      <c r="XEL31" s="42" t="s">
        <v>464</v>
      </c>
      <c r="XFA31" s="42" t="s">
        <v>464</v>
      </c>
    </row>
    <row r="32" spans="1:256 16365:16381" ht="15">
      <c r="A32" s="10" t="s">
        <v>580</v>
      </c>
      <c r="B32" s="1"/>
      <c r="C32" s="1"/>
      <c r="D32" s="53" t="s">
        <v>487</v>
      </c>
      <c r="E32" s="57" t="s">
        <v>65</v>
      </c>
      <c r="F32" s="60">
        <v>10</v>
      </c>
      <c r="G32" s="2">
        <v>10</v>
      </c>
      <c r="H32" s="2">
        <f t="shared" si="0"/>
        <v>1</v>
      </c>
      <c r="I32" s="2">
        <v>10</v>
      </c>
      <c r="J32" s="2">
        <f t="shared" si="1"/>
        <v>1</v>
      </c>
      <c r="IR32" s="42"/>
      <c r="IS32" s="42"/>
      <c r="IT32" s="42"/>
      <c r="IU32" s="42"/>
      <c r="IV32" s="42"/>
    </row>
    <row r="33" spans="1:256 16366:16381" ht="15">
      <c r="A33" s="10" t="s">
        <v>581</v>
      </c>
      <c r="B33" s="1"/>
      <c r="C33" s="1"/>
      <c r="D33" s="53" t="s">
        <v>450</v>
      </c>
      <c r="E33" s="57" t="s">
        <v>65</v>
      </c>
      <c r="F33" s="60">
        <v>11</v>
      </c>
      <c r="G33" s="2">
        <v>11</v>
      </c>
      <c r="H33" s="2">
        <f t="shared" si="0"/>
        <v>1</v>
      </c>
      <c r="I33" s="2">
        <v>11</v>
      </c>
      <c r="J33" s="2">
        <f t="shared" si="1"/>
        <v>1</v>
      </c>
      <c r="IR33" s="42"/>
      <c r="IS33" s="42"/>
      <c r="IT33" s="42"/>
      <c r="IU33" s="42"/>
      <c r="IV33" s="42"/>
      <c r="XEL33" s="42" t="s">
        <v>465</v>
      </c>
      <c r="XFA33" s="42" t="s">
        <v>465</v>
      </c>
    </row>
    <row r="34" spans="1:256 16366:16381" ht="15">
      <c r="A34" s="10" t="s">
        <v>582</v>
      </c>
      <c r="B34" s="1"/>
      <c r="C34" s="1"/>
      <c r="D34" s="53" t="s">
        <v>451</v>
      </c>
      <c r="E34" s="57" t="s">
        <v>65</v>
      </c>
      <c r="F34" s="60">
        <v>12</v>
      </c>
      <c r="G34" s="2">
        <v>12</v>
      </c>
      <c r="H34" s="2">
        <f t="shared" si="0"/>
        <v>1</v>
      </c>
      <c r="I34" s="2">
        <v>12</v>
      </c>
      <c r="J34" s="2">
        <f t="shared" si="1"/>
        <v>1</v>
      </c>
      <c r="IR34" s="42"/>
      <c r="IS34" s="42"/>
      <c r="IT34" s="42"/>
      <c r="IU34" s="42"/>
      <c r="IV34" s="42"/>
      <c r="XEL34" s="42" t="s">
        <v>466</v>
      </c>
      <c r="XFA34" s="42" t="s">
        <v>466</v>
      </c>
    </row>
    <row r="35" spans="1:256 16366:16381" ht="15">
      <c r="A35" s="8" t="s">
        <v>583</v>
      </c>
      <c r="B35" s="1"/>
      <c r="C35" s="1"/>
      <c r="D35" s="53" t="s">
        <v>452</v>
      </c>
      <c r="E35" s="57" t="s">
        <v>65</v>
      </c>
      <c r="F35" s="60">
        <v>13</v>
      </c>
      <c r="G35" s="2">
        <v>13</v>
      </c>
      <c r="H35" s="2">
        <f t="shared" si="0"/>
        <v>1</v>
      </c>
      <c r="I35" s="2">
        <v>13</v>
      </c>
      <c r="J35" s="2">
        <f t="shared" si="1"/>
        <v>1</v>
      </c>
      <c r="IR35" s="42"/>
      <c r="IS35" s="42"/>
      <c r="IT35" s="42"/>
      <c r="IU35" s="42"/>
      <c r="IV35" s="42"/>
      <c r="XEL35" s="42" t="s">
        <v>467</v>
      </c>
      <c r="XFA35" s="42" t="s">
        <v>467</v>
      </c>
    </row>
    <row r="36" spans="1:256 16366:16381" ht="15">
      <c r="A36" s="8" t="s">
        <v>584</v>
      </c>
      <c r="B36" s="1"/>
      <c r="C36" s="1"/>
      <c r="D36" s="53" t="s">
        <v>453</v>
      </c>
      <c r="E36" s="57" t="s">
        <v>65</v>
      </c>
      <c r="F36" s="60">
        <v>14</v>
      </c>
      <c r="G36" s="2">
        <v>14</v>
      </c>
      <c r="H36" s="2">
        <f t="shared" si="0"/>
        <v>1</v>
      </c>
      <c r="I36" s="2">
        <v>14</v>
      </c>
      <c r="J36" s="2">
        <f t="shared" si="1"/>
        <v>1</v>
      </c>
      <c r="IR36" s="42"/>
      <c r="IS36" s="42"/>
      <c r="IT36" s="42"/>
      <c r="IU36" s="42"/>
      <c r="IV36" s="42"/>
      <c r="XEL36" s="42" t="s">
        <v>468</v>
      </c>
      <c r="XFA36" s="42" t="s">
        <v>468</v>
      </c>
    </row>
    <row r="37" spans="1:256 16366:16381" ht="15">
      <c r="A37" s="10" t="s">
        <v>585</v>
      </c>
      <c r="B37" s="1"/>
      <c r="C37" s="1"/>
      <c r="D37" s="53" t="s">
        <v>454</v>
      </c>
      <c r="E37" s="57" t="s">
        <v>65</v>
      </c>
      <c r="F37" s="61">
        <v>15</v>
      </c>
      <c r="G37" s="2">
        <v>15</v>
      </c>
      <c r="H37" s="2">
        <f t="shared" si="0"/>
        <v>1</v>
      </c>
      <c r="I37" s="2">
        <v>15</v>
      </c>
      <c r="J37" s="2">
        <f t="shared" si="1"/>
        <v>1</v>
      </c>
      <c r="IR37" s="42"/>
      <c r="IS37" s="42"/>
      <c r="IT37" s="42"/>
      <c r="IU37" s="42"/>
      <c r="IV37" s="42"/>
      <c r="XEL37" s="42" t="s">
        <v>467</v>
      </c>
      <c r="XFA37" s="42" t="s">
        <v>467</v>
      </c>
    </row>
    <row r="38" spans="1:256 16366:16381" ht="15">
      <c r="A38" s="8" t="s">
        <v>586</v>
      </c>
      <c r="B38" s="1"/>
      <c r="C38" s="1"/>
      <c r="D38" s="53" t="s">
        <v>455</v>
      </c>
      <c r="E38" s="57" t="s">
        <v>65</v>
      </c>
      <c r="F38" s="60">
        <v>16</v>
      </c>
      <c r="G38" s="2">
        <v>16</v>
      </c>
      <c r="H38" s="2">
        <f t="shared" si="0"/>
        <v>1</v>
      </c>
      <c r="I38" s="2">
        <v>16</v>
      </c>
      <c r="J38" s="2">
        <f t="shared" si="1"/>
        <v>1</v>
      </c>
      <c r="IR38" s="42"/>
      <c r="IS38" s="42"/>
      <c r="IT38" s="42"/>
      <c r="IU38" s="42"/>
      <c r="IV38" s="42"/>
      <c r="XEL38" s="42" t="s">
        <v>468</v>
      </c>
      <c r="XFA38" s="42" t="s">
        <v>468</v>
      </c>
    </row>
    <row r="39" spans="1:256 16366:16381" ht="15">
      <c r="A39" s="8" t="s">
        <v>587</v>
      </c>
      <c r="B39" s="1"/>
      <c r="C39" s="1"/>
      <c r="D39" s="53" t="s">
        <v>456</v>
      </c>
      <c r="E39" s="57" t="s">
        <v>65</v>
      </c>
      <c r="F39" s="60">
        <v>17</v>
      </c>
      <c r="G39" s="2">
        <v>17</v>
      </c>
      <c r="H39" s="2">
        <f t="shared" si="0"/>
        <v>1</v>
      </c>
      <c r="I39" s="2">
        <v>17</v>
      </c>
      <c r="J39" s="2">
        <f t="shared" si="1"/>
        <v>1</v>
      </c>
      <c r="IR39" s="42"/>
      <c r="IS39" s="42"/>
      <c r="IT39" s="42"/>
      <c r="IU39" s="42"/>
      <c r="IV39" s="42"/>
      <c r="XEL39" s="42" t="s">
        <v>469</v>
      </c>
      <c r="XFA39" s="42" t="s">
        <v>469</v>
      </c>
    </row>
    <row r="40" spans="1:256 16366:16381" ht="15">
      <c r="A40" s="8" t="s">
        <v>588</v>
      </c>
      <c r="B40" s="1"/>
      <c r="C40" s="1"/>
      <c r="D40" s="53" t="s">
        <v>469</v>
      </c>
      <c r="E40" s="57" t="s">
        <v>65</v>
      </c>
      <c r="F40" s="60">
        <v>18</v>
      </c>
      <c r="G40" s="2">
        <v>18</v>
      </c>
      <c r="H40" s="2">
        <f t="shared" si="0"/>
        <v>1</v>
      </c>
      <c r="I40" s="2">
        <v>18</v>
      </c>
      <c r="J40" s="2">
        <f t="shared" si="1"/>
        <v>1</v>
      </c>
      <c r="IR40" s="42"/>
      <c r="IS40" s="42"/>
      <c r="IT40" s="42"/>
      <c r="IU40" s="42"/>
      <c r="IV40" s="42"/>
      <c r="XEL40" s="42" t="s">
        <v>470</v>
      </c>
    </row>
    <row r="41" spans="1:256 16366:16381" ht="15">
      <c r="A41" s="8" t="s">
        <v>589</v>
      </c>
      <c r="B41" s="1"/>
      <c r="C41" s="1"/>
      <c r="D41" s="53" t="s">
        <v>464</v>
      </c>
      <c r="E41" s="57" t="s">
        <v>65</v>
      </c>
      <c r="F41" s="60">
        <v>19</v>
      </c>
      <c r="G41" s="2">
        <v>19</v>
      </c>
      <c r="H41" s="2">
        <f t="shared" si="0"/>
        <v>1</v>
      </c>
      <c r="I41" s="2">
        <v>19</v>
      </c>
      <c r="J41" s="2">
        <f t="shared" si="1"/>
        <v>1</v>
      </c>
      <c r="IR41" s="42"/>
      <c r="IS41" s="42"/>
      <c r="IT41" s="42"/>
      <c r="IU41" s="42"/>
      <c r="IV41" s="42"/>
      <c r="XEL41" s="42" t="s">
        <v>471</v>
      </c>
    </row>
    <row r="42" spans="1:256 16366:16381" ht="15">
      <c r="A42" s="8" t="s">
        <v>590</v>
      </c>
      <c r="B42" s="1"/>
      <c r="C42" s="1"/>
      <c r="D42" s="53" t="s">
        <v>465</v>
      </c>
      <c r="E42" s="57" t="s">
        <v>65</v>
      </c>
      <c r="F42" s="60">
        <v>20</v>
      </c>
      <c r="G42" s="2">
        <v>20</v>
      </c>
      <c r="H42" s="2">
        <f t="shared" si="0"/>
        <v>1</v>
      </c>
      <c r="I42" s="2">
        <v>20</v>
      </c>
      <c r="J42" s="2">
        <f t="shared" si="1"/>
        <v>1</v>
      </c>
      <c r="IR42" s="42"/>
      <c r="IS42" s="42"/>
      <c r="IT42" s="42"/>
      <c r="IU42" s="42"/>
      <c r="IV42" s="42"/>
      <c r="XEL42" s="42" t="s">
        <v>472</v>
      </c>
    </row>
    <row r="43" spans="1:256 16366:16381" ht="15">
      <c r="A43" s="8"/>
      <c r="B43" s="1"/>
      <c r="C43" s="1"/>
      <c r="D43" s="53" t="s">
        <v>466</v>
      </c>
      <c r="E43" s="57" t="s">
        <v>65</v>
      </c>
      <c r="F43" s="60">
        <v>21</v>
      </c>
      <c r="G43" s="2">
        <v>21</v>
      </c>
      <c r="H43" s="2">
        <f t="shared" si="0"/>
        <v>1</v>
      </c>
      <c r="I43" s="2">
        <v>21</v>
      </c>
      <c r="J43" s="2">
        <f t="shared" si="1"/>
        <v>1</v>
      </c>
      <c r="IR43" s="42"/>
      <c r="IS43" s="42"/>
      <c r="IT43" s="42"/>
      <c r="IU43" s="42"/>
      <c r="IV43" s="42"/>
      <c r="XEL43" s="42" t="s">
        <v>473</v>
      </c>
    </row>
    <row r="44" spans="1:256 16366:16381" ht="15">
      <c r="A44" s="8" t="s">
        <v>574</v>
      </c>
      <c r="B44" s="1"/>
      <c r="C44" s="1"/>
      <c r="D44" s="53" t="s">
        <v>467</v>
      </c>
      <c r="E44" s="57" t="s">
        <v>65</v>
      </c>
      <c r="F44" s="60">
        <v>22</v>
      </c>
      <c r="G44" s="2">
        <v>22</v>
      </c>
      <c r="H44" s="2">
        <f t="shared" si="0"/>
        <v>1</v>
      </c>
      <c r="I44" s="2">
        <v>22</v>
      </c>
      <c r="J44" s="2">
        <f t="shared" si="1"/>
        <v>1</v>
      </c>
      <c r="IR44" s="42"/>
      <c r="IS44" s="42"/>
      <c r="IT44" s="42"/>
      <c r="IU44" s="42"/>
      <c r="IV44" s="42"/>
      <c r="XEL44" s="42" t="s">
        <v>474</v>
      </c>
    </row>
    <row r="45" spans="1:256 16366:16381" ht="15">
      <c r="A45" s="8" t="s">
        <v>567</v>
      </c>
      <c r="B45" s="1"/>
      <c r="C45" s="1"/>
      <c r="D45" s="53" t="s">
        <v>468</v>
      </c>
      <c r="E45" s="57" t="s">
        <v>65</v>
      </c>
      <c r="F45" s="61">
        <v>23</v>
      </c>
      <c r="G45" s="2">
        <v>23</v>
      </c>
      <c r="H45" s="2">
        <f t="shared" si="0"/>
        <v>1</v>
      </c>
      <c r="I45" s="2">
        <v>23</v>
      </c>
      <c r="J45" s="2">
        <f t="shared" si="1"/>
        <v>1</v>
      </c>
      <c r="IR45" s="42"/>
      <c r="IS45" s="42"/>
      <c r="IT45" s="42"/>
      <c r="IU45" s="42"/>
      <c r="IV45" s="42"/>
      <c r="XEL45" s="42" t="s">
        <v>475</v>
      </c>
    </row>
    <row r="46" spans="1:256 16366:16381" ht="15">
      <c r="A46" s="8" t="s">
        <v>568</v>
      </c>
      <c r="B46" s="1"/>
      <c r="C46" s="1"/>
      <c r="D46" s="53" t="s">
        <v>537</v>
      </c>
      <c r="E46" s="57" t="s">
        <v>65</v>
      </c>
      <c r="F46" s="60">
        <v>24</v>
      </c>
      <c r="G46" s="2">
        <v>24</v>
      </c>
      <c r="H46" s="2">
        <f t="shared" si="0"/>
        <v>1</v>
      </c>
      <c r="I46" s="2">
        <v>24</v>
      </c>
      <c r="J46" s="2">
        <f t="shared" si="1"/>
        <v>1</v>
      </c>
      <c r="IR46" s="42"/>
      <c r="IS46" s="42"/>
      <c r="IT46" s="42"/>
      <c r="IU46" s="42"/>
      <c r="IV46" s="42"/>
      <c r="XEL46" s="42" t="s">
        <v>476</v>
      </c>
    </row>
    <row r="47" spans="1:256 16366:16381" ht="15">
      <c r="A47" s="8" t="s">
        <v>569</v>
      </c>
      <c r="B47" s="1"/>
      <c r="C47" s="1"/>
      <c r="D47" s="53" t="s">
        <v>538</v>
      </c>
      <c r="E47" s="57" t="s">
        <v>65</v>
      </c>
      <c r="F47" s="60">
        <v>25</v>
      </c>
      <c r="G47" s="2">
        <v>25</v>
      </c>
      <c r="H47" s="2">
        <f t="shared" si="0"/>
        <v>1</v>
      </c>
      <c r="I47" s="2">
        <v>25</v>
      </c>
      <c r="J47" s="2">
        <f t="shared" si="1"/>
        <v>1</v>
      </c>
      <c r="IR47" s="42"/>
      <c r="IS47" s="42"/>
      <c r="IT47" s="42"/>
      <c r="IU47" s="42"/>
      <c r="IV47" s="42"/>
      <c r="XEL47" s="42" t="s">
        <v>477</v>
      </c>
    </row>
    <row r="48" spans="1:256 16366:16381" ht="15">
      <c r="A48" s="8" t="s">
        <v>570</v>
      </c>
      <c r="B48" s="1"/>
      <c r="C48" s="1"/>
      <c r="D48" s="53" t="s">
        <v>489</v>
      </c>
      <c r="E48" s="57" t="s">
        <v>65</v>
      </c>
      <c r="F48" s="60">
        <v>26</v>
      </c>
      <c r="G48" s="2">
        <v>26</v>
      </c>
      <c r="H48" s="2">
        <f t="shared" si="0"/>
        <v>1</v>
      </c>
      <c r="I48" s="2">
        <v>26</v>
      </c>
      <c r="J48" s="2">
        <f t="shared" si="1"/>
        <v>1</v>
      </c>
      <c r="IR48" s="42"/>
      <c r="IS48" s="42"/>
      <c r="IT48" s="42"/>
      <c r="IU48" s="42"/>
      <c r="IV48" s="42"/>
      <c r="XEL48" s="42" t="s">
        <v>478</v>
      </c>
    </row>
    <row r="49" spans="1:256 16366:16380" ht="15">
      <c r="A49" s="8" t="s">
        <v>571</v>
      </c>
      <c r="B49" s="1"/>
      <c r="C49" s="1"/>
      <c r="D49" s="53" t="s">
        <v>488</v>
      </c>
      <c r="E49" s="57" t="s">
        <v>65</v>
      </c>
      <c r="F49" s="60">
        <v>27</v>
      </c>
      <c r="G49" s="2">
        <v>27</v>
      </c>
      <c r="H49" s="2">
        <f t="shared" si="0"/>
        <v>1</v>
      </c>
      <c r="I49" s="2">
        <v>27</v>
      </c>
      <c r="J49" s="2">
        <f t="shared" si="1"/>
        <v>1</v>
      </c>
      <c r="IR49" s="42"/>
      <c r="IS49" s="42"/>
      <c r="IT49" s="42"/>
      <c r="IU49" s="42"/>
      <c r="IV49" s="42"/>
      <c r="XEL49" s="42" t="s">
        <v>479</v>
      </c>
    </row>
    <row r="50" spans="1:256 16366:16380" ht="15">
      <c r="A50" s="9" t="s">
        <v>572</v>
      </c>
      <c r="B50" s="1"/>
      <c r="C50" s="1"/>
      <c r="D50" s="53" t="s">
        <v>457</v>
      </c>
      <c r="E50" s="57" t="s">
        <v>65</v>
      </c>
      <c r="F50" s="60">
        <v>28</v>
      </c>
      <c r="G50" s="2">
        <v>28</v>
      </c>
      <c r="H50" s="2">
        <f t="shared" si="0"/>
        <v>1</v>
      </c>
      <c r="I50" s="2">
        <v>28</v>
      </c>
      <c r="J50" s="2">
        <f t="shared" si="1"/>
        <v>1</v>
      </c>
      <c r="IR50" s="42"/>
      <c r="IS50" s="42"/>
      <c r="IT50" s="42"/>
      <c r="IU50" s="42"/>
      <c r="IV50" s="42"/>
      <c r="XEL50" s="42" t="s">
        <v>480</v>
      </c>
    </row>
    <row r="51" spans="1:256 16366:16380" ht="15">
      <c r="A51" s="9" t="s">
        <v>591</v>
      </c>
      <c r="B51" s="1"/>
      <c r="C51" s="1"/>
      <c r="D51" s="53" t="s">
        <v>458</v>
      </c>
      <c r="E51" s="57" t="s">
        <v>65</v>
      </c>
      <c r="F51" s="60">
        <v>29</v>
      </c>
      <c r="G51" s="2">
        <v>29</v>
      </c>
      <c r="H51" s="2">
        <f t="shared" si="0"/>
        <v>1</v>
      </c>
      <c r="I51" s="2">
        <v>29</v>
      </c>
      <c r="J51" s="2">
        <f t="shared" si="1"/>
        <v>1</v>
      </c>
      <c r="IR51" s="42"/>
      <c r="IS51" s="42"/>
      <c r="IT51" s="42"/>
      <c r="IU51" s="42"/>
      <c r="IV51" s="42"/>
      <c r="XEL51" s="42" t="s">
        <v>481</v>
      </c>
    </row>
    <row r="52" spans="1:256 16366:16380" ht="15">
      <c r="A52" s="8" t="s">
        <v>592</v>
      </c>
      <c r="B52" s="1"/>
      <c r="C52" s="1"/>
      <c r="D52" s="53" t="s">
        <v>459</v>
      </c>
      <c r="E52" s="57" t="s">
        <v>65</v>
      </c>
      <c r="F52" s="60">
        <v>30</v>
      </c>
      <c r="G52" s="2">
        <v>30</v>
      </c>
      <c r="H52" s="2">
        <f t="shared" si="0"/>
        <v>1</v>
      </c>
      <c r="I52" s="2">
        <v>30</v>
      </c>
      <c r="J52" s="2">
        <f t="shared" si="1"/>
        <v>1</v>
      </c>
      <c r="IR52" s="42"/>
      <c r="IS52" s="42"/>
      <c r="IT52" s="42"/>
      <c r="IU52" s="42"/>
      <c r="IV52" s="42"/>
      <c r="XEL52" s="42" t="s">
        <v>482</v>
      </c>
    </row>
    <row r="53" spans="1:256 16366:16380" ht="15">
      <c r="A53" s="8" t="s">
        <v>593</v>
      </c>
      <c r="B53" s="1"/>
      <c r="C53" s="1"/>
      <c r="D53" s="53" t="s">
        <v>460</v>
      </c>
      <c r="E53" s="57" t="s">
        <v>65</v>
      </c>
      <c r="F53" s="61">
        <v>31</v>
      </c>
      <c r="G53" s="2">
        <v>31</v>
      </c>
      <c r="H53" s="2">
        <f t="shared" si="0"/>
        <v>1</v>
      </c>
      <c r="I53" s="2">
        <v>31</v>
      </c>
      <c r="J53" s="2">
        <f t="shared" si="1"/>
        <v>1</v>
      </c>
      <c r="IR53" s="42"/>
      <c r="IS53" s="42"/>
      <c r="IT53" s="42"/>
      <c r="IU53" s="42"/>
      <c r="IV53" s="42"/>
      <c r="XEL53" s="42" t="s">
        <v>483</v>
      </c>
    </row>
    <row r="54" spans="1:256 16366:16380" ht="15">
      <c r="A54" s="8" t="s">
        <v>594</v>
      </c>
      <c r="B54" s="1"/>
      <c r="C54" s="1"/>
      <c r="D54" s="53" t="s">
        <v>461</v>
      </c>
      <c r="E54" s="57" t="s">
        <v>65</v>
      </c>
      <c r="F54" s="60">
        <v>32</v>
      </c>
      <c r="G54" s="2">
        <v>32</v>
      </c>
      <c r="H54" s="2">
        <f t="shared" si="0"/>
        <v>1</v>
      </c>
      <c r="I54" s="2">
        <v>32</v>
      </c>
      <c r="J54" s="2">
        <f t="shared" si="1"/>
        <v>1</v>
      </c>
      <c r="IR54" s="42"/>
      <c r="IS54" s="42"/>
      <c r="IT54" s="42"/>
      <c r="IU54" s="42"/>
      <c r="IV54" s="42"/>
      <c r="XEL54" s="42" t="s">
        <v>484</v>
      </c>
    </row>
    <row r="55" spans="1:256 16366:16380" ht="15">
      <c r="A55" s="8" t="s">
        <v>595</v>
      </c>
      <c r="B55" s="1"/>
      <c r="C55" s="1"/>
      <c r="D55" s="53" t="s">
        <v>462</v>
      </c>
      <c r="E55" s="57" t="s">
        <v>65</v>
      </c>
      <c r="F55" s="60">
        <v>33</v>
      </c>
      <c r="G55" s="2">
        <v>33</v>
      </c>
      <c r="H55" s="2">
        <f t="shared" si="0"/>
        <v>1</v>
      </c>
      <c r="I55" s="2">
        <v>33</v>
      </c>
      <c r="J55" s="2">
        <f t="shared" si="1"/>
        <v>1</v>
      </c>
      <c r="IR55" s="42"/>
      <c r="IS55" s="42"/>
      <c r="IT55" s="42"/>
      <c r="IU55" s="42"/>
      <c r="IV55" s="42"/>
      <c r="XEL55" s="42" t="s">
        <v>485</v>
      </c>
    </row>
    <row r="56" spans="1:256 16366:16380" ht="15.75" thickBot="1">
      <c r="A56" s="8" t="s">
        <v>596</v>
      </c>
      <c r="B56" s="1"/>
      <c r="C56" s="1"/>
      <c r="D56" s="53" t="s">
        <v>463</v>
      </c>
      <c r="E56" s="57" t="s">
        <v>65</v>
      </c>
      <c r="F56" s="60">
        <v>34</v>
      </c>
      <c r="G56" s="2">
        <v>34</v>
      </c>
      <c r="H56" s="2">
        <f t="shared" si="0"/>
        <v>1</v>
      </c>
      <c r="I56" s="2">
        <v>34</v>
      </c>
      <c r="J56" s="2">
        <f t="shared" si="1"/>
        <v>1</v>
      </c>
      <c r="IR56" s="42"/>
      <c r="IS56" s="42"/>
      <c r="IT56" s="42"/>
      <c r="IU56" s="42"/>
      <c r="IV56" s="42"/>
    </row>
    <row r="57" spans="1:256 16366:16380" ht="15">
      <c r="A57" s="8" t="s">
        <v>597</v>
      </c>
      <c r="B57" s="71" t="s">
        <v>533</v>
      </c>
      <c r="C57" s="72"/>
      <c r="D57" s="53" t="s">
        <v>477</v>
      </c>
      <c r="E57" s="57" t="s">
        <v>65</v>
      </c>
      <c r="F57" s="60">
        <v>35</v>
      </c>
      <c r="G57" s="2">
        <v>35</v>
      </c>
      <c r="H57" s="2">
        <f t="shared" si="0"/>
        <v>1</v>
      </c>
      <c r="I57" s="2">
        <v>35</v>
      </c>
      <c r="J57" s="2">
        <f t="shared" si="1"/>
        <v>1</v>
      </c>
      <c r="IR57" s="42"/>
      <c r="IS57" s="42"/>
      <c r="IT57" s="42"/>
      <c r="IU57" s="42"/>
      <c r="IV57" s="42"/>
      <c r="XEZ57" s="42"/>
    </row>
    <row r="58" spans="1:256 16366:16380" ht="15">
      <c r="A58" s="8" t="s">
        <v>598</v>
      </c>
      <c r="B58" s="73"/>
      <c r="C58" s="74"/>
      <c r="D58" s="53" t="s">
        <v>470</v>
      </c>
      <c r="E58" s="57" t="s">
        <v>65</v>
      </c>
      <c r="F58" s="60">
        <v>36</v>
      </c>
      <c r="G58" s="2">
        <v>36</v>
      </c>
      <c r="H58" s="2">
        <f t="shared" si="0"/>
        <v>1</v>
      </c>
      <c r="I58" s="2">
        <v>36</v>
      </c>
      <c r="J58" s="2">
        <f t="shared" si="1"/>
        <v>1</v>
      </c>
      <c r="IR58" s="42"/>
      <c r="IS58" s="42"/>
      <c r="IT58" s="42"/>
      <c r="IU58" s="42"/>
      <c r="IV58" s="42"/>
      <c r="XEZ58" s="42"/>
    </row>
    <row r="59" spans="1:256 16366:16380" ht="15">
      <c r="A59" s="8" t="s">
        <v>599</v>
      </c>
      <c r="B59" s="73"/>
      <c r="C59" s="74"/>
      <c r="D59" s="53" t="s">
        <v>471</v>
      </c>
      <c r="E59" s="57" t="s">
        <v>65</v>
      </c>
      <c r="F59" s="60">
        <v>37</v>
      </c>
      <c r="G59" s="2">
        <v>37</v>
      </c>
      <c r="H59" s="2">
        <f t="shared" si="0"/>
        <v>1</v>
      </c>
      <c r="I59" s="2">
        <v>37</v>
      </c>
      <c r="J59" s="2">
        <f t="shared" si="1"/>
        <v>1</v>
      </c>
      <c r="IR59" s="42"/>
      <c r="IS59" s="42"/>
      <c r="IT59" s="42"/>
      <c r="IU59" s="42"/>
      <c r="IV59" s="42"/>
      <c r="XEZ59" s="42"/>
    </row>
    <row r="60" spans="1:256 16366:16380" ht="15.75" thickBot="1">
      <c r="A60" s="8" t="s">
        <v>600</v>
      </c>
      <c r="B60" s="75"/>
      <c r="C60" s="76"/>
      <c r="D60" s="53" t="s">
        <v>472</v>
      </c>
      <c r="E60" s="57" t="s">
        <v>65</v>
      </c>
      <c r="F60" s="60">
        <v>38</v>
      </c>
      <c r="G60" s="2">
        <v>38</v>
      </c>
      <c r="H60" s="2">
        <f t="shared" si="0"/>
        <v>1</v>
      </c>
      <c r="I60" s="2">
        <v>38</v>
      </c>
      <c r="J60" s="2">
        <f t="shared" si="1"/>
        <v>1</v>
      </c>
      <c r="IR60" s="42"/>
      <c r="IS60" s="42"/>
      <c r="IT60" s="42"/>
      <c r="IU60" s="42"/>
      <c r="IV60" s="42"/>
      <c r="XEZ60" s="42"/>
    </row>
    <row r="61" spans="1:256 16366:16380" ht="15">
      <c r="A61" s="8" t="s">
        <v>601</v>
      </c>
      <c r="B61" s="1"/>
      <c r="C61" s="1"/>
      <c r="D61" s="53" t="s">
        <v>473</v>
      </c>
      <c r="E61" s="57" t="s">
        <v>65</v>
      </c>
      <c r="F61" s="61">
        <v>39</v>
      </c>
      <c r="G61" s="2">
        <v>39</v>
      </c>
      <c r="H61" s="2">
        <f t="shared" si="0"/>
        <v>1</v>
      </c>
      <c r="I61" s="2">
        <v>39</v>
      </c>
      <c r="J61" s="2">
        <f t="shared" si="1"/>
        <v>1</v>
      </c>
      <c r="IR61" s="42"/>
      <c r="IS61" s="42"/>
      <c r="IT61" s="42"/>
      <c r="IU61" s="42"/>
      <c r="IV61" s="42"/>
      <c r="XEZ61" s="42"/>
    </row>
    <row r="62" spans="1:256 16366:16380" ht="15">
      <c r="A62" s="8" t="s">
        <v>602</v>
      </c>
      <c r="B62" s="1"/>
      <c r="C62" s="1"/>
      <c r="D62" s="53" t="s">
        <v>474</v>
      </c>
      <c r="E62" s="57" t="s">
        <v>65</v>
      </c>
      <c r="F62" s="60">
        <v>40</v>
      </c>
      <c r="G62" s="2">
        <v>40</v>
      </c>
      <c r="H62" s="2">
        <f t="shared" si="0"/>
        <v>1</v>
      </c>
      <c r="I62" s="2">
        <v>40</v>
      </c>
      <c r="J62" s="2">
        <f t="shared" si="1"/>
        <v>1</v>
      </c>
      <c r="IR62" s="42"/>
      <c r="IS62" s="42"/>
      <c r="IT62" s="42"/>
      <c r="IU62" s="42"/>
      <c r="IV62" s="42"/>
      <c r="XEZ62" s="42"/>
    </row>
    <row r="63" spans="1:256 16366:16380" ht="15">
      <c r="A63" s="11"/>
      <c r="B63" s="1"/>
      <c r="C63" s="1"/>
      <c r="D63" s="53" t="s">
        <v>475</v>
      </c>
      <c r="E63" s="57" t="s">
        <v>65</v>
      </c>
      <c r="F63" s="60">
        <v>41</v>
      </c>
      <c r="G63" s="2">
        <v>41</v>
      </c>
      <c r="H63" s="2">
        <f t="shared" si="0"/>
        <v>1</v>
      </c>
      <c r="I63" s="2">
        <v>41</v>
      </c>
      <c r="J63" s="2">
        <f t="shared" si="1"/>
        <v>1</v>
      </c>
      <c r="IR63" s="42"/>
      <c r="IS63" s="42"/>
      <c r="IT63" s="42"/>
      <c r="IU63" s="42"/>
      <c r="IV63" s="42"/>
      <c r="XEZ63" s="42"/>
    </row>
    <row r="64" spans="1:256 16366:16380" ht="15">
      <c r="A64" s="11" t="s">
        <v>603</v>
      </c>
      <c r="B64" s="1"/>
      <c r="C64" s="1"/>
      <c r="D64" s="53" t="s">
        <v>476</v>
      </c>
      <c r="E64" s="57" t="s">
        <v>65</v>
      </c>
      <c r="F64" s="60">
        <v>42</v>
      </c>
      <c r="G64" s="2">
        <v>42</v>
      </c>
      <c r="H64" s="2">
        <f t="shared" si="0"/>
        <v>1</v>
      </c>
      <c r="I64" s="2">
        <v>42</v>
      </c>
      <c r="J64" s="2">
        <f t="shared" si="1"/>
        <v>1</v>
      </c>
      <c r="IR64" s="42"/>
      <c r="IS64" s="42"/>
      <c r="IT64" s="42"/>
      <c r="IU64" s="42"/>
      <c r="IV64" s="42"/>
    </row>
    <row r="65" spans="1:256" ht="15">
      <c r="A65" s="11"/>
      <c r="B65" s="1"/>
      <c r="C65" s="1"/>
      <c r="D65" s="53" t="s">
        <v>478</v>
      </c>
      <c r="E65" s="57" t="s">
        <v>65</v>
      </c>
      <c r="F65" s="60">
        <v>43</v>
      </c>
      <c r="G65" s="2">
        <v>43</v>
      </c>
      <c r="H65" s="2">
        <f t="shared" si="0"/>
        <v>1</v>
      </c>
      <c r="I65" s="2">
        <v>43</v>
      </c>
      <c r="J65" s="2">
        <f t="shared" si="1"/>
        <v>1</v>
      </c>
      <c r="IR65" s="42"/>
      <c r="IS65" s="42"/>
      <c r="IT65" s="42"/>
      <c r="IU65" s="42"/>
      <c r="IV65" s="42"/>
    </row>
    <row r="66" spans="1:256" ht="15">
      <c r="A66" s="11"/>
      <c r="B66" s="1"/>
      <c r="C66" s="1"/>
      <c r="D66" s="53" t="s">
        <v>479</v>
      </c>
      <c r="E66" s="57" t="s">
        <v>65</v>
      </c>
      <c r="F66" s="60">
        <v>44</v>
      </c>
      <c r="G66" s="2">
        <v>44</v>
      </c>
      <c r="H66" s="2">
        <f t="shared" si="0"/>
        <v>1</v>
      </c>
      <c r="I66" s="2">
        <v>44</v>
      </c>
      <c r="J66" s="2">
        <f t="shared" si="1"/>
        <v>1</v>
      </c>
      <c r="IR66" s="42"/>
      <c r="IS66" s="42"/>
      <c r="IT66" s="42"/>
      <c r="IU66" s="42"/>
      <c r="IV66" s="42"/>
    </row>
    <row r="67" spans="1:256" ht="15">
      <c r="A67" s="11"/>
      <c r="B67" s="1"/>
      <c r="C67" s="1"/>
      <c r="D67" s="53" t="s">
        <v>480</v>
      </c>
      <c r="E67" s="57" t="s">
        <v>65</v>
      </c>
      <c r="F67" s="60">
        <v>45</v>
      </c>
      <c r="G67" s="2">
        <v>45</v>
      </c>
      <c r="H67" s="2">
        <f t="shared" si="0"/>
        <v>1</v>
      </c>
      <c r="I67" s="2">
        <v>45</v>
      </c>
      <c r="J67" s="2">
        <f t="shared" si="1"/>
        <v>1</v>
      </c>
      <c r="IR67" s="42"/>
      <c r="IS67" s="42"/>
      <c r="IT67" s="42"/>
      <c r="IU67" s="42"/>
      <c r="IV67" s="42"/>
    </row>
    <row r="68" spans="1:256" ht="15">
      <c r="A68" s="11"/>
      <c r="B68" s="1"/>
      <c r="C68" s="1"/>
      <c r="D68" s="53" t="s">
        <v>481</v>
      </c>
      <c r="E68" s="57" t="s">
        <v>65</v>
      </c>
      <c r="F68" s="60">
        <v>46</v>
      </c>
      <c r="G68" s="2">
        <v>46</v>
      </c>
      <c r="H68" s="2">
        <f t="shared" si="0"/>
        <v>1</v>
      </c>
      <c r="I68" s="2">
        <v>46</v>
      </c>
      <c r="J68" s="2">
        <f t="shared" si="1"/>
        <v>1</v>
      </c>
      <c r="IR68" s="42"/>
      <c r="IS68" s="42"/>
      <c r="IT68" s="42"/>
      <c r="IU68" s="42"/>
      <c r="IV68" s="42"/>
    </row>
    <row r="69" spans="1:256" ht="15">
      <c r="A69" s="11"/>
      <c r="B69" s="1"/>
      <c r="C69" s="1"/>
      <c r="D69" s="53" t="s">
        <v>482</v>
      </c>
      <c r="E69" s="57" t="s">
        <v>65</v>
      </c>
      <c r="F69" s="61">
        <v>47</v>
      </c>
      <c r="G69" s="2">
        <v>47</v>
      </c>
      <c r="H69" s="2">
        <f t="shared" si="0"/>
        <v>1</v>
      </c>
      <c r="I69" s="2">
        <v>47</v>
      </c>
      <c r="J69" s="2">
        <f t="shared" si="1"/>
        <v>1</v>
      </c>
      <c r="IR69" s="42"/>
      <c r="IS69" s="42"/>
      <c r="IT69" s="42"/>
      <c r="IU69" s="42"/>
      <c r="IV69" s="42"/>
    </row>
    <row r="70" spans="1:256" ht="15">
      <c r="A70" s="11"/>
      <c r="B70" s="1"/>
      <c r="C70" s="1"/>
      <c r="D70" s="53" t="s">
        <v>483</v>
      </c>
      <c r="E70" s="57" t="s">
        <v>65</v>
      </c>
      <c r="F70" s="60">
        <v>48</v>
      </c>
      <c r="G70" s="2">
        <v>48</v>
      </c>
      <c r="H70" s="2">
        <f t="shared" si="0"/>
        <v>1</v>
      </c>
      <c r="I70" s="2">
        <v>48</v>
      </c>
      <c r="J70" s="2">
        <f t="shared" si="1"/>
        <v>1</v>
      </c>
      <c r="IR70" s="42"/>
      <c r="IS70" s="42"/>
      <c r="IT70" s="42"/>
      <c r="IU70" s="42"/>
      <c r="IV70" s="42"/>
    </row>
    <row r="71" spans="1:256" ht="15">
      <c r="A71" s="11"/>
      <c r="B71" s="1"/>
      <c r="C71" s="1"/>
      <c r="D71" s="53" t="s">
        <v>484</v>
      </c>
      <c r="E71" s="57" t="s">
        <v>65</v>
      </c>
      <c r="F71" s="60">
        <v>49</v>
      </c>
      <c r="G71" s="2">
        <v>49</v>
      </c>
      <c r="H71" s="2">
        <f t="shared" si="0"/>
        <v>1</v>
      </c>
      <c r="I71" s="2">
        <v>49</v>
      </c>
      <c r="J71" s="2">
        <f t="shared" si="1"/>
        <v>1</v>
      </c>
      <c r="IR71" s="42"/>
      <c r="IS71" s="42"/>
      <c r="IT71" s="42"/>
      <c r="IU71" s="42"/>
      <c r="IV71" s="42"/>
    </row>
    <row r="72" spans="1:256" ht="15.75" thickBot="1">
      <c r="A72" s="11"/>
      <c r="B72" s="1"/>
      <c r="C72" s="1"/>
      <c r="D72" s="53" t="s">
        <v>485</v>
      </c>
      <c r="E72" s="57" t="s">
        <v>65</v>
      </c>
      <c r="F72" s="60">
        <v>50</v>
      </c>
      <c r="G72" s="2">
        <v>50</v>
      </c>
      <c r="H72" s="2">
        <f t="shared" si="0"/>
        <v>1</v>
      </c>
      <c r="I72" s="2">
        <v>50</v>
      </c>
      <c r="J72" s="2">
        <f t="shared" si="1"/>
        <v>1</v>
      </c>
      <c r="IR72" s="42"/>
      <c r="IS72" s="42"/>
      <c r="IT72" s="42"/>
      <c r="IU72" s="42"/>
      <c r="IV72" s="42"/>
    </row>
    <row r="73" spans="1:256" ht="15">
      <c r="A73" s="11"/>
      <c r="B73" s="71" t="s">
        <v>539</v>
      </c>
      <c r="C73" s="72"/>
      <c r="D73" s="53" t="s">
        <v>501</v>
      </c>
      <c r="E73" s="57" t="s">
        <v>65</v>
      </c>
      <c r="F73" s="60">
        <v>51</v>
      </c>
      <c r="G73" s="2">
        <v>51</v>
      </c>
      <c r="H73" s="2">
        <v>3</v>
      </c>
      <c r="I73" s="2">
        <v>51</v>
      </c>
      <c r="J73" s="2">
        <f t="shared" si="1"/>
        <v>1</v>
      </c>
      <c r="IR73" s="42"/>
      <c r="IS73" s="42"/>
      <c r="IT73" s="42"/>
      <c r="IU73" s="42"/>
      <c r="IV73" s="42"/>
    </row>
    <row r="74" spans="1:256" ht="15">
      <c r="A74" s="11"/>
      <c r="B74" s="73"/>
      <c r="C74" s="74"/>
      <c r="D74" s="53" t="s">
        <v>502</v>
      </c>
      <c r="E74" s="57" t="s">
        <v>65</v>
      </c>
      <c r="F74" s="60">
        <v>52</v>
      </c>
      <c r="G74" s="2">
        <v>54</v>
      </c>
      <c r="H74" s="2">
        <f t="shared" si="0"/>
        <v>3</v>
      </c>
      <c r="I74" s="2">
        <v>53</v>
      </c>
      <c r="J74" s="2">
        <f t="shared" si="1"/>
        <v>2</v>
      </c>
      <c r="IR74" s="42"/>
      <c r="IS74" s="42"/>
      <c r="IT74" s="42"/>
      <c r="IU74" s="42"/>
      <c r="IV74" s="42"/>
    </row>
    <row r="75" spans="1:256" ht="15">
      <c r="A75" s="11"/>
      <c r="B75" s="73"/>
      <c r="C75" s="74"/>
      <c r="D75" s="53" t="s">
        <v>503</v>
      </c>
      <c r="E75" s="57" t="s">
        <v>65</v>
      </c>
      <c r="F75" s="60">
        <v>53</v>
      </c>
      <c r="G75" s="2">
        <v>57</v>
      </c>
      <c r="H75" s="2">
        <f t="shared" si="0"/>
        <v>3</v>
      </c>
      <c r="I75" s="2">
        <v>55</v>
      </c>
      <c r="J75" s="2">
        <f t="shared" si="1"/>
        <v>2</v>
      </c>
      <c r="IR75" s="42"/>
      <c r="IS75" s="42"/>
      <c r="IT75" s="42"/>
      <c r="IU75" s="42"/>
      <c r="IV75" s="42"/>
    </row>
    <row r="76" spans="1:256" ht="15.75" thickBot="1">
      <c r="A76" s="11"/>
      <c r="B76" s="75"/>
      <c r="C76" s="76"/>
      <c r="D76" s="53" t="s">
        <v>508</v>
      </c>
      <c r="E76" s="57" t="s">
        <v>65</v>
      </c>
      <c r="F76" s="60">
        <v>54</v>
      </c>
      <c r="G76" s="2">
        <v>60</v>
      </c>
      <c r="H76" s="2">
        <f t="shared" si="0"/>
        <v>3</v>
      </c>
      <c r="I76" s="2">
        <v>57</v>
      </c>
      <c r="J76" s="2">
        <f t="shared" si="1"/>
        <v>2</v>
      </c>
      <c r="IR76" s="42"/>
      <c r="IS76" s="42"/>
      <c r="IT76" s="42"/>
      <c r="IU76" s="42"/>
      <c r="IV76" s="42"/>
    </row>
    <row r="77" spans="1:256" ht="15">
      <c r="A77" s="11"/>
      <c r="B77" s="1"/>
      <c r="C77" s="1"/>
      <c r="D77" s="53" t="s">
        <v>504</v>
      </c>
      <c r="E77" s="57" t="s">
        <v>65</v>
      </c>
      <c r="F77" s="61">
        <v>55</v>
      </c>
      <c r="G77" s="2">
        <v>63</v>
      </c>
      <c r="H77" s="2">
        <f t="shared" si="0"/>
        <v>3</v>
      </c>
      <c r="I77" s="2">
        <v>59</v>
      </c>
      <c r="J77" s="2">
        <f t="shared" si="1"/>
        <v>2</v>
      </c>
      <c r="IR77" s="42"/>
      <c r="IS77" s="42"/>
      <c r="IT77" s="42"/>
      <c r="IU77" s="42"/>
      <c r="IV77" s="42"/>
    </row>
    <row r="78" spans="1:256" ht="15">
      <c r="A78" s="11"/>
      <c r="B78" s="1"/>
      <c r="C78" s="1"/>
      <c r="D78" s="53" t="s">
        <v>505</v>
      </c>
      <c r="E78" s="57" t="s">
        <v>65</v>
      </c>
      <c r="F78" s="60">
        <v>56</v>
      </c>
      <c r="G78" s="2">
        <v>66</v>
      </c>
      <c r="H78" s="2">
        <f t="shared" si="0"/>
        <v>3</v>
      </c>
      <c r="I78" s="2">
        <v>61</v>
      </c>
      <c r="J78" s="2">
        <f t="shared" si="1"/>
        <v>2</v>
      </c>
      <c r="IR78" s="42"/>
      <c r="IS78" s="42"/>
      <c r="IT78" s="42"/>
      <c r="IU78" s="42"/>
      <c r="IV78" s="42"/>
    </row>
    <row r="79" spans="1:256" ht="15">
      <c r="A79" s="11"/>
      <c r="B79" s="1"/>
      <c r="C79" s="1"/>
      <c r="D79" s="53" t="s">
        <v>506</v>
      </c>
      <c r="E79" s="57" t="s">
        <v>65</v>
      </c>
      <c r="F79" s="60">
        <v>57</v>
      </c>
      <c r="G79" s="2">
        <v>69</v>
      </c>
      <c r="H79" s="2">
        <f t="shared" si="0"/>
        <v>3</v>
      </c>
      <c r="I79" s="2">
        <v>63</v>
      </c>
      <c r="J79" s="2">
        <f t="shared" si="1"/>
        <v>2</v>
      </c>
      <c r="IR79" s="42"/>
      <c r="IS79" s="42"/>
      <c r="IT79" s="42"/>
      <c r="IU79" s="42"/>
      <c r="IV79" s="42"/>
    </row>
    <row r="80" spans="1:256" ht="15.75" thickBot="1">
      <c r="A80" s="11"/>
      <c r="B80" s="1"/>
      <c r="C80" s="1"/>
      <c r="D80" s="53" t="s">
        <v>507</v>
      </c>
      <c r="E80" s="57" t="s">
        <v>65</v>
      </c>
      <c r="F80" s="60">
        <v>58</v>
      </c>
      <c r="G80" s="2">
        <v>72</v>
      </c>
      <c r="H80" s="2">
        <f t="shared" si="0"/>
        <v>3</v>
      </c>
      <c r="I80" s="2">
        <v>65</v>
      </c>
      <c r="J80" s="2">
        <f t="shared" si="1"/>
        <v>2</v>
      </c>
      <c r="IR80" s="42"/>
      <c r="IS80" s="42"/>
      <c r="IT80" s="42"/>
      <c r="IU80" s="42"/>
      <c r="IV80" s="42"/>
    </row>
    <row r="81" spans="1:256" ht="15">
      <c r="A81" s="11"/>
      <c r="B81" s="71" t="s">
        <v>540</v>
      </c>
      <c r="C81" s="72"/>
      <c r="D81" s="53" t="s">
        <v>501</v>
      </c>
      <c r="E81" s="57" t="s">
        <v>65</v>
      </c>
      <c r="F81" s="60">
        <v>59</v>
      </c>
      <c r="G81" s="2">
        <v>75</v>
      </c>
      <c r="H81" s="2">
        <v>4</v>
      </c>
      <c r="I81" s="2">
        <v>67</v>
      </c>
      <c r="J81" s="2">
        <f t="shared" si="1"/>
        <v>2</v>
      </c>
      <c r="IR81" s="42"/>
      <c r="IS81" s="42"/>
      <c r="IT81" s="42"/>
      <c r="IU81" s="42"/>
      <c r="IV81" s="42"/>
    </row>
    <row r="82" spans="1:256" ht="15">
      <c r="A82" s="11"/>
      <c r="B82" s="73"/>
      <c r="C82" s="74"/>
      <c r="D82" s="53" t="s">
        <v>502</v>
      </c>
      <c r="E82" s="57" t="s">
        <v>65</v>
      </c>
      <c r="F82" s="60">
        <v>60</v>
      </c>
      <c r="G82" s="2">
        <v>79</v>
      </c>
      <c r="H82" s="2">
        <f t="shared" si="0"/>
        <v>4</v>
      </c>
      <c r="I82" s="2">
        <v>69</v>
      </c>
      <c r="J82" s="2">
        <f t="shared" si="1"/>
        <v>2</v>
      </c>
      <c r="IR82" s="42"/>
      <c r="IS82" s="42"/>
      <c r="IT82" s="42"/>
      <c r="IU82" s="42"/>
      <c r="IV82" s="42"/>
    </row>
    <row r="83" spans="1:256" ht="15">
      <c r="A83" s="11"/>
      <c r="B83" s="73"/>
      <c r="C83" s="74"/>
      <c r="D83" s="53" t="s">
        <v>503</v>
      </c>
      <c r="E83" s="57" t="s">
        <v>65</v>
      </c>
      <c r="F83" s="60">
        <v>61</v>
      </c>
      <c r="G83" s="2">
        <v>83</v>
      </c>
      <c r="H83" s="2">
        <f t="shared" si="0"/>
        <v>4</v>
      </c>
      <c r="I83" s="2">
        <v>71</v>
      </c>
      <c r="J83" s="2">
        <f t="shared" si="1"/>
        <v>2</v>
      </c>
      <c r="IR83" s="42"/>
      <c r="IS83" s="42"/>
      <c r="IT83" s="42"/>
      <c r="IU83" s="42"/>
      <c r="IV83" s="42"/>
    </row>
    <row r="84" spans="1:256" ht="15.75" thickBot="1">
      <c r="A84" s="11"/>
      <c r="B84" s="75"/>
      <c r="C84" s="76"/>
      <c r="D84" s="53" t="s">
        <v>508</v>
      </c>
      <c r="E84" s="57" t="s">
        <v>65</v>
      </c>
      <c r="F84" s="60">
        <v>62</v>
      </c>
      <c r="G84" s="2">
        <v>87</v>
      </c>
      <c r="H84" s="2">
        <f t="shared" si="0"/>
        <v>4</v>
      </c>
      <c r="I84" s="2">
        <v>73</v>
      </c>
      <c r="J84" s="2">
        <f t="shared" si="1"/>
        <v>2</v>
      </c>
      <c r="IR84" s="42"/>
      <c r="IS84" s="42"/>
      <c r="IT84" s="42"/>
      <c r="IU84" s="42"/>
      <c r="IV84" s="42"/>
    </row>
    <row r="85" spans="1:256" ht="15">
      <c r="A85" s="11"/>
      <c r="B85" s="1"/>
      <c r="C85" s="1"/>
      <c r="D85" s="53" t="s">
        <v>509</v>
      </c>
      <c r="E85" s="57" t="s">
        <v>65</v>
      </c>
      <c r="F85" s="61">
        <v>63</v>
      </c>
      <c r="G85" s="2">
        <v>91</v>
      </c>
      <c r="H85" s="2">
        <f t="shared" si="0"/>
        <v>4</v>
      </c>
      <c r="I85" s="2">
        <v>75</v>
      </c>
      <c r="J85" s="2">
        <f t="shared" si="1"/>
        <v>2</v>
      </c>
      <c r="IR85" s="42"/>
      <c r="IS85" s="42"/>
      <c r="IT85" s="42"/>
      <c r="IU85" s="42"/>
      <c r="IV85" s="42"/>
    </row>
    <row r="86" spans="1:256" ht="15">
      <c r="A86" s="11"/>
      <c r="B86" s="1"/>
      <c r="C86" s="1"/>
      <c r="D86" s="53" t="s">
        <v>510</v>
      </c>
      <c r="E86" s="57" t="s">
        <v>65</v>
      </c>
      <c r="F86" s="60">
        <v>64</v>
      </c>
      <c r="G86" s="2">
        <v>95</v>
      </c>
      <c r="H86" s="2">
        <f t="shared" si="0"/>
        <v>4</v>
      </c>
      <c r="I86" s="2">
        <v>77</v>
      </c>
      <c r="J86" s="2">
        <f t="shared" si="1"/>
        <v>2</v>
      </c>
      <c r="IR86" s="42"/>
      <c r="IS86" s="42"/>
      <c r="IT86" s="42"/>
      <c r="IU86" s="42"/>
      <c r="IV86" s="42"/>
    </row>
    <row r="87" spans="1:256" ht="15">
      <c r="A87" s="11"/>
      <c r="B87" s="1"/>
      <c r="C87" s="1"/>
      <c r="D87" s="53" t="s">
        <v>511</v>
      </c>
      <c r="E87" s="57" t="s">
        <v>65</v>
      </c>
      <c r="F87" s="60">
        <v>65</v>
      </c>
      <c r="G87" s="2">
        <v>99</v>
      </c>
      <c r="H87" s="2">
        <f t="shared" si="0"/>
        <v>4</v>
      </c>
      <c r="I87" s="2">
        <v>79</v>
      </c>
      <c r="J87" s="2">
        <f t="shared" si="1"/>
        <v>2</v>
      </c>
      <c r="IR87" s="42"/>
      <c r="IS87" s="42"/>
      <c r="IT87" s="42"/>
      <c r="IU87" s="42"/>
      <c r="IV87" s="42"/>
    </row>
    <row r="88" spans="1:256" ht="15.75" thickBot="1">
      <c r="A88" s="11"/>
      <c r="B88" s="1"/>
      <c r="C88" s="1"/>
      <c r="D88" s="53" t="s">
        <v>512</v>
      </c>
      <c r="E88" s="57" t="s">
        <v>65</v>
      </c>
      <c r="F88" s="60">
        <v>66</v>
      </c>
      <c r="G88" s="2">
        <v>103</v>
      </c>
      <c r="H88" s="2">
        <f t="shared" si="0"/>
        <v>4</v>
      </c>
      <c r="I88" s="2">
        <v>81</v>
      </c>
      <c r="J88" s="2">
        <f t="shared" si="1"/>
        <v>2</v>
      </c>
      <c r="IR88" s="42"/>
      <c r="IS88" s="42"/>
      <c r="IT88" s="42"/>
      <c r="IU88" s="42"/>
      <c r="IV88" s="42"/>
    </row>
    <row r="89" spans="1:256" ht="15">
      <c r="A89" s="11"/>
      <c r="B89" s="71" t="s">
        <v>541</v>
      </c>
      <c r="C89" s="72"/>
      <c r="D89" s="53" t="s">
        <v>501</v>
      </c>
      <c r="E89" s="57" t="s">
        <v>64</v>
      </c>
      <c r="F89" s="60">
        <v>67</v>
      </c>
      <c r="G89" s="2">
        <v>107</v>
      </c>
      <c r="H89" s="2">
        <v>3</v>
      </c>
      <c r="I89" s="2">
        <v>83</v>
      </c>
      <c r="J89" s="2">
        <f t="shared" ref="J89:J104" si="2">I89-I88</f>
        <v>2</v>
      </c>
      <c r="IR89" s="42"/>
      <c r="IS89" s="42"/>
      <c r="IT89" s="42"/>
      <c r="IU89" s="42"/>
      <c r="IV89" s="42"/>
    </row>
    <row r="90" spans="1:256" ht="15">
      <c r="A90" s="11"/>
      <c r="B90" s="73"/>
      <c r="C90" s="74"/>
      <c r="D90" s="53" t="s">
        <v>502</v>
      </c>
      <c r="E90" s="57" t="s">
        <v>64</v>
      </c>
      <c r="F90" s="60">
        <v>68</v>
      </c>
      <c r="G90" s="2">
        <v>110</v>
      </c>
      <c r="H90" s="2">
        <f t="shared" ref="H90:H104" si="3">G90-G89</f>
        <v>3</v>
      </c>
      <c r="I90" s="2">
        <v>85</v>
      </c>
      <c r="J90" s="2">
        <f t="shared" si="2"/>
        <v>2</v>
      </c>
      <c r="IR90" s="42"/>
      <c r="IS90" s="42"/>
      <c r="IT90" s="42"/>
      <c r="IU90" s="42"/>
      <c r="IV90" s="42"/>
    </row>
    <row r="91" spans="1:256" ht="15">
      <c r="A91" s="11"/>
      <c r="B91" s="73"/>
      <c r="C91" s="74"/>
      <c r="D91" s="53" t="s">
        <v>503</v>
      </c>
      <c r="E91" s="57" t="s">
        <v>65</v>
      </c>
      <c r="F91" s="60">
        <v>69</v>
      </c>
      <c r="G91" s="2">
        <v>113</v>
      </c>
      <c r="H91" s="2">
        <f t="shared" si="3"/>
        <v>3</v>
      </c>
      <c r="I91" s="2">
        <v>87</v>
      </c>
      <c r="J91" s="2">
        <f t="shared" si="2"/>
        <v>2</v>
      </c>
      <c r="IR91" s="42"/>
      <c r="IS91" s="42"/>
      <c r="IT91" s="42"/>
      <c r="IU91" s="42"/>
      <c r="IV91" s="42"/>
    </row>
    <row r="92" spans="1:256" ht="15.75" thickBot="1">
      <c r="A92" s="11"/>
      <c r="B92" s="75"/>
      <c r="C92" s="76"/>
      <c r="D92" s="53" t="s">
        <v>508</v>
      </c>
      <c r="E92" s="57" t="s">
        <v>65</v>
      </c>
      <c r="F92" s="60">
        <v>70</v>
      </c>
      <c r="G92" s="2">
        <v>116</v>
      </c>
      <c r="H92" s="2">
        <f t="shared" si="3"/>
        <v>3</v>
      </c>
      <c r="I92" s="2">
        <v>89</v>
      </c>
      <c r="J92" s="2">
        <f t="shared" si="2"/>
        <v>2</v>
      </c>
      <c r="IR92" s="42"/>
      <c r="IS92" s="42"/>
      <c r="IT92" s="42"/>
      <c r="IU92" s="42"/>
      <c r="IV92" s="42"/>
    </row>
    <row r="93" spans="1:256" ht="15">
      <c r="A93" s="11"/>
      <c r="B93" s="1"/>
      <c r="C93" s="1"/>
      <c r="D93" s="53" t="s">
        <v>504</v>
      </c>
      <c r="E93" s="57" t="s">
        <v>64</v>
      </c>
      <c r="F93" s="61">
        <v>71</v>
      </c>
      <c r="G93" s="2">
        <v>119</v>
      </c>
      <c r="H93" s="2">
        <f t="shared" si="3"/>
        <v>3</v>
      </c>
      <c r="I93" s="2">
        <v>91</v>
      </c>
      <c r="J93" s="2">
        <f t="shared" si="2"/>
        <v>2</v>
      </c>
      <c r="IR93" s="42"/>
      <c r="IS93" s="42"/>
      <c r="IT93" s="42"/>
      <c r="IU93" s="42"/>
      <c r="IV93" s="42"/>
    </row>
    <row r="94" spans="1:256" ht="15">
      <c r="A94" s="11"/>
      <c r="B94" s="1"/>
      <c r="C94" s="1"/>
      <c r="D94" s="53" t="s">
        <v>505</v>
      </c>
      <c r="E94" s="57" t="s">
        <v>64</v>
      </c>
      <c r="F94" s="60">
        <v>72</v>
      </c>
      <c r="G94" s="2">
        <v>122</v>
      </c>
      <c r="H94" s="2">
        <f t="shared" si="3"/>
        <v>3</v>
      </c>
      <c r="I94" s="2">
        <v>93</v>
      </c>
      <c r="J94" s="2">
        <f t="shared" si="2"/>
        <v>2</v>
      </c>
      <c r="IR94" s="42"/>
      <c r="IS94" s="42"/>
      <c r="IT94" s="42"/>
      <c r="IU94" s="42"/>
      <c r="IV94" s="42"/>
    </row>
    <row r="95" spans="1:256" ht="15">
      <c r="A95" s="11"/>
      <c r="B95" s="1"/>
      <c r="C95" s="1"/>
      <c r="D95" s="53" t="s">
        <v>506</v>
      </c>
      <c r="E95" s="57" t="s">
        <v>65</v>
      </c>
      <c r="F95" s="60">
        <v>73</v>
      </c>
      <c r="G95" s="2">
        <v>125</v>
      </c>
      <c r="H95" s="2">
        <f t="shared" si="3"/>
        <v>3</v>
      </c>
      <c r="I95" s="2">
        <v>95</v>
      </c>
      <c r="J95" s="2">
        <f t="shared" si="2"/>
        <v>2</v>
      </c>
      <c r="IR95" s="42"/>
      <c r="IS95" s="42"/>
      <c r="IT95" s="42"/>
      <c r="IU95" s="42"/>
      <c r="IV95" s="42"/>
    </row>
    <row r="96" spans="1:256" ht="15.75" thickBot="1">
      <c r="A96" s="11"/>
      <c r="B96" s="1"/>
      <c r="C96" s="1"/>
      <c r="D96" s="53" t="s">
        <v>507</v>
      </c>
      <c r="E96" s="57" t="s">
        <v>65</v>
      </c>
      <c r="F96" s="60">
        <v>74</v>
      </c>
      <c r="G96" s="2">
        <v>128</v>
      </c>
      <c r="H96" s="2">
        <f t="shared" si="3"/>
        <v>3</v>
      </c>
      <c r="I96" s="2">
        <v>97</v>
      </c>
      <c r="J96" s="2">
        <f t="shared" si="2"/>
        <v>2</v>
      </c>
      <c r="IR96" s="42"/>
      <c r="IS96" s="42"/>
      <c r="IT96" s="42"/>
      <c r="IU96" s="42"/>
      <c r="IV96" s="42"/>
    </row>
    <row r="97" spans="1:256" ht="15">
      <c r="A97" s="11"/>
      <c r="B97" s="71" t="s">
        <v>542</v>
      </c>
      <c r="C97" s="72"/>
      <c r="D97" s="53" t="s">
        <v>501</v>
      </c>
      <c r="E97" s="57" t="s">
        <v>65</v>
      </c>
      <c r="F97" s="60">
        <v>75</v>
      </c>
      <c r="G97" s="2">
        <v>131</v>
      </c>
      <c r="H97" s="2">
        <v>4</v>
      </c>
      <c r="I97" s="2">
        <v>99</v>
      </c>
      <c r="J97" s="2">
        <f t="shared" si="2"/>
        <v>2</v>
      </c>
      <c r="IR97" s="42"/>
      <c r="IS97" s="42"/>
      <c r="IT97" s="42"/>
      <c r="IU97" s="42"/>
      <c r="IV97" s="42"/>
    </row>
    <row r="98" spans="1:256" ht="15">
      <c r="A98" s="11"/>
      <c r="B98" s="73"/>
      <c r="C98" s="74"/>
      <c r="D98" s="53" t="s">
        <v>502</v>
      </c>
      <c r="E98" s="57" t="s">
        <v>65</v>
      </c>
      <c r="F98" s="60">
        <v>76</v>
      </c>
      <c r="G98" s="2">
        <v>135</v>
      </c>
      <c r="H98" s="2">
        <f t="shared" si="3"/>
        <v>4</v>
      </c>
      <c r="I98" s="2">
        <v>101</v>
      </c>
      <c r="J98" s="2">
        <f t="shared" si="2"/>
        <v>2</v>
      </c>
      <c r="IR98" s="42"/>
      <c r="IS98" s="42"/>
      <c r="IT98" s="42"/>
      <c r="IU98" s="42"/>
      <c r="IV98" s="42"/>
    </row>
    <row r="99" spans="1:256" ht="15">
      <c r="A99" s="11"/>
      <c r="B99" s="73"/>
      <c r="C99" s="74"/>
      <c r="D99" s="53" t="s">
        <v>503</v>
      </c>
      <c r="E99" s="57" t="s">
        <v>65</v>
      </c>
      <c r="F99" s="60">
        <v>77</v>
      </c>
      <c r="G99" s="2">
        <v>139</v>
      </c>
      <c r="H99" s="2">
        <f t="shared" si="3"/>
        <v>4</v>
      </c>
      <c r="I99" s="2">
        <v>103</v>
      </c>
      <c r="J99" s="2">
        <f t="shared" si="2"/>
        <v>2</v>
      </c>
      <c r="IR99" s="42"/>
      <c r="IS99" s="42"/>
      <c r="IT99" s="42"/>
      <c r="IU99" s="42"/>
      <c r="IV99" s="42"/>
    </row>
    <row r="100" spans="1:256" ht="15.75" thickBot="1">
      <c r="A100" s="11"/>
      <c r="B100" s="75"/>
      <c r="C100" s="76"/>
      <c r="D100" s="53" t="s">
        <v>508</v>
      </c>
      <c r="E100" s="57" t="s">
        <v>65</v>
      </c>
      <c r="F100" s="60">
        <v>78</v>
      </c>
      <c r="G100" s="2">
        <v>143</v>
      </c>
      <c r="H100" s="2">
        <f t="shared" si="3"/>
        <v>4</v>
      </c>
      <c r="I100" s="2">
        <v>105</v>
      </c>
      <c r="J100" s="2">
        <f t="shared" si="2"/>
        <v>2</v>
      </c>
      <c r="IR100" s="42"/>
      <c r="IS100" s="42"/>
      <c r="IT100" s="42"/>
      <c r="IU100" s="42"/>
      <c r="IV100" s="42"/>
    </row>
    <row r="101" spans="1:256" ht="15">
      <c r="A101" s="11"/>
      <c r="B101" s="1"/>
      <c r="C101" s="1"/>
      <c r="D101" s="53" t="s">
        <v>509</v>
      </c>
      <c r="E101" s="57" t="s">
        <v>65</v>
      </c>
      <c r="F101" s="61">
        <v>79</v>
      </c>
      <c r="G101" s="2">
        <v>147</v>
      </c>
      <c r="H101" s="2">
        <f t="shared" si="3"/>
        <v>4</v>
      </c>
      <c r="I101" s="2">
        <v>107</v>
      </c>
      <c r="J101" s="2">
        <f t="shared" si="2"/>
        <v>2</v>
      </c>
      <c r="IR101" s="42"/>
      <c r="IS101" s="42"/>
      <c r="IT101" s="42"/>
      <c r="IU101" s="42"/>
      <c r="IV101" s="42"/>
    </row>
    <row r="102" spans="1:256" ht="15">
      <c r="A102" s="11"/>
      <c r="B102" s="1"/>
      <c r="C102" s="1"/>
      <c r="D102" s="53" t="s">
        <v>510</v>
      </c>
      <c r="E102" s="57" t="s">
        <v>65</v>
      </c>
      <c r="F102" s="60">
        <v>80</v>
      </c>
      <c r="G102" s="2">
        <v>151</v>
      </c>
      <c r="H102" s="2">
        <f t="shared" si="3"/>
        <v>4</v>
      </c>
      <c r="I102" s="2">
        <v>109</v>
      </c>
      <c r="J102" s="2">
        <f t="shared" si="2"/>
        <v>2</v>
      </c>
      <c r="IR102" s="42"/>
      <c r="IS102" s="42"/>
      <c r="IT102" s="42"/>
      <c r="IU102" s="42"/>
      <c r="IV102" s="42"/>
    </row>
    <row r="103" spans="1:256" ht="15">
      <c r="A103" s="11"/>
      <c r="B103" s="1"/>
      <c r="C103" s="1"/>
      <c r="D103" s="53" t="s">
        <v>511</v>
      </c>
      <c r="E103" s="57" t="s">
        <v>65</v>
      </c>
      <c r="F103" s="60">
        <v>81</v>
      </c>
      <c r="G103" s="2">
        <v>155</v>
      </c>
      <c r="H103" s="2">
        <f t="shared" si="3"/>
        <v>4</v>
      </c>
      <c r="I103" s="2">
        <v>111</v>
      </c>
      <c r="J103" s="2">
        <f t="shared" si="2"/>
        <v>2</v>
      </c>
      <c r="IR103" s="42"/>
      <c r="IS103" s="42"/>
      <c r="IT103" s="42"/>
      <c r="IU103" s="42"/>
      <c r="IV103" s="42"/>
    </row>
    <row r="104" spans="1:256" ht="15.75" thickBot="1">
      <c r="A104" s="11"/>
      <c r="B104" s="1"/>
      <c r="C104" s="1"/>
      <c r="D104" s="54" t="s">
        <v>512</v>
      </c>
      <c r="E104" s="58" t="s">
        <v>65</v>
      </c>
      <c r="F104" s="60">
        <v>82</v>
      </c>
      <c r="G104" s="2">
        <v>159</v>
      </c>
      <c r="H104" s="2">
        <f t="shared" si="3"/>
        <v>4</v>
      </c>
      <c r="I104" s="2">
        <v>113</v>
      </c>
      <c r="J104" s="2">
        <f t="shared" si="2"/>
        <v>2</v>
      </c>
      <c r="IR104" s="42"/>
      <c r="IS104" s="42"/>
      <c r="IT104" s="42"/>
      <c r="IU104" s="42"/>
      <c r="IV104" s="42"/>
    </row>
    <row r="105" spans="1:256" ht="15">
      <c r="A105" s="11"/>
      <c r="D105" s="1"/>
      <c r="IR105" s="42"/>
      <c r="IS105" s="42"/>
      <c r="IT105" s="42"/>
      <c r="IU105" s="42"/>
      <c r="IV105" s="42"/>
    </row>
    <row r="106" spans="1:256" ht="15">
      <c r="A106" s="11"/>
      <c r="D106" s="1"/>
      <c r="IR106" s="42"/>
      <c r="IS106" s="42"/>
      <c r="IT106" s="42"/>
      <c r="IU106" s="42"/>
      <c r="IV106" s="42"/>
    </row>
    <row r="107" spans="1:256" ht="15">
      <c r="A107" s="11"/>
      <c r="D107" s="1"/>
      <c r="IR107" s="42"/>
      <c r="IS107" s="42"/>
      <c r="IT107" s="42"/>
      <c r="IU107" s="42"/>
      <c r="IV107" s="42"/>
    </row>
    <row r="108" spans="1:256" ht="15">
      <c r="A108" s="11"/>
      <c r="D108" s="1"/>
      <c r="IR108" s="42"/>
      <c r="IS108" s="42"/>
      <c r="IT108" s="42"/>
      <c r="IU108" s="42"/>
      <c r="IV108" s="42"/>
    </row>
    <row r="109" spans="1:256" ht="15">
      <c r="A109" s="11"/>
      <c r="D109" s="1"/>
      <c r="IR109" s="42"/>
      <c r="IS109" s="42"/>
      <c r="IT109" s="42"/>
      <c r="IU109" s="42"/>
      <c r="IV109" s="42"/>
    </row>
    <row r="110" spans="1:256" ht="15">
      <c r="A110" s="11"/>
      <c r="D110" s="1"/>
      <c r="IR110" s="42"/>
      <c r="IS110" s="42"/>
      <c r="IT110" s="42"/>
      <c r="IU110" s="42"/>
      <c r="IV110" s="42"/>
    </row>
    <row r="111" spans="1:256" ht="15">
      <c r="A111" s="11"/>
      <c r="D111" s="1"/>
      <c r="IR111" s="42"/>
      <c r="IS111" s="42"/>
      <c r="IT111" s="42"/>
      <c r="IU111" s="42"/>
      <c r="IV111" s="42"/>
    </row>
    <row r="112" spans="1:256" ht="15">
      <c r="A112" s="11"/>
      <c r="D112" s="1"/>
      <c r="IR112" s="42"/>
      <c r="IS112" s="42"/>
      <c r="IT112" s="42"/>
      <c r="IU112" s="42"/>
      <c r="IV112" s="42"/>
    </row>
    <row r="113" spans="1:256" ht="15">
      <c r="A113" s="11"/>
      <c r="D113" s="1"/>
      <c r="IR113" s="42"/>
      <c r="IS113" s="42"/>
      <c r="IT113" s="42"/>
      <c r="IU113" s="42"/>
      <c r="IV113" s="42"/>
    </row>
    <row r="114" spans="1:256" ht="15">
      <c r="A114" s="11"/>
      <c r="D114" s="1"/>
      <c r="IR114" s="42"/>
      <c r="IS114" s="42"/>
      <c r="IT114" s="42"/>
      <c r="IU114" s="42"/>
      <c r="IV114" s="42"/>
    </row>
    <row r="115" spans="1:256" ht="15">
      <c r="A115" s="11"/>
      <c r="D115" s="1"/>
      <c r="IR115" s="42"/>
      <c r="IS115" s="42"/>
      <c r="IT115" s="42"/>
      <c r="IU115" s="42"/>
      <c r="IV115" s="42"/>
    </row>
    <row r="116" spans="1:256" ht="15">
      <c r="A116" s="11"/>
      <c r="D116" s="1"/>
      <c r="IR116" s="42"/>
      <c r="IS116" s="42"/>
      <c r="IT116" s="42"/>
      <c r="IU116" s="42"/>
      <c r="IV116" s="42"/>
    </row>
    <row r="117" spans="1:256" ht="15">
      <c r="A117" s="11"/>
      <c r="D117" s="1"/>
      <c r="IR117" s="42"/>
      <c r="IS117" s="42"/>
      <c r="IT117" s="42"/>
      <c r="IU117" s="42"/>
      <c r="IV117" s="42"/>
    </row>
    <row r="118" spans="1:256" ht="15">
      <c r="A118" s="11"/>
      <c r="D118" s="1"/>
      <c r="IR118" s="42"/>
      <c r="IS118" s="42"/>
      <c r="IT118" s="42"/>
      <c r="IU118" s="42"/>
      <c r="IV118" s="42"/>
    </row>
    <row r="119" spans="1:256" ht="15">
      <c r="A119" s="11"/>
      <c r="D119" s="1"/>
      <c r="IR119" s="42"/>
      <c r="IS119" s="42"/>
      <c r="IT119" s="42"/>
      <c r="IU119" s="42"/>
      <c r="IV119" s="42"/>
    </row>
    <row r="120" spans="1:256" ht="15">
      <c r="A120" s="11"/>
      <c r="D120" s="1"/>
      <c r="IR120" s="42"/>
      <c r="IS120" s="42"/>
      <c r="IT120" s="42"/>
      <c r="IU120" s="42"/>
      <c r="IV120" s="42"/>
    </row>
    <row r="121" spans="1:256" ht="15">
      <c r="A121" s="11"/>
      <c r="D121" s="1"/>
      <c r="IR121" s="42"/>
      <c r="IS121" s="42"/>
      <c r="IT121" s="42"/>
      <c r="IU121" s="42"/>
      <c r="IV121" s="42"/>
    </row>
    <row r="122" spans="1:256" ht="15">
      <c r="A122" s="11"/>
      <c r="D122" s="1"/>
      <c r="IR122" s="42"/>
      <c r="IS122" s="42"/>
      <c r="IT122" s="42"/>
      <c r="IU122" s="42"/>
      <c r="IV122" s="42"/>
    </row>
    <row r="123" spans="1:256" ht="15">
      <c r="A123" s="11"/>
      <c r="D123" s="1"/>
      <c r="IR123" s="42"/>
      <c r="IS123" s="42"/>
      <c r="IT123" s="42"/>
      <c r="IU123" s="42"/>
      <c r="IV123" s="42"/>
    </row>
    <row r="124" spans="1:256" ht="15">
      <c r="A124" s="11"/>
      <c r="D124" s="1"/>
      <c r="IR124" s="42"/>
      <c r="IS124" s="42"/>
      <c r="IT124" s="42"/>
      <c r="IU124" s="42"/>
      <c r="IV124" s="42"/>
    </row>
    <row r="125" spans="1:256" ht="15">
      <c r="A125" s="11"/>
      <c r="D125" s="1"/>
      <c r="IR125" s="42"/>
      <c r="IS125" s="42"/>
      <c r="IT125" s="42"/>
      <c r="IU125" s="42"/>
      <c r="IV125" s="42"/>
    </row>
    <row r="126" spans="1:256" ht="15">
      <c r="A126" s="11"/>
      <c r="D126" s="1"/>
      <c r="IR126" s="42"/>
      <c r="IS126" s="42"/>
      <c r="IT126" s="42"/>
      <c r="IU126" s="42"/>
      <c r="IV126" s="42"/>
    </row>
    <row r="127" spans="1:256" ht="15">
      <c r="A127" s="11"/>
      <c r="D127" s="1"/>
      <c r="IR127" s="42"/>
      <c r="IS127" s="42"/>
      <c r="IT127" s="42"/>
      <c r="IU127" s="42"/>
      <c r="IV127" s="42"/>
    </row>
    <row r="128" spans="1:256" ht="15">
      <c r="A128" s="11"/>
      <c r="D128" s="1"/>
      <c r="IR128" s="42"/>
      <c r="IS128" s="42"/>
      <c r="IT128" s="42"/>
      <c r="IU128" s="42"/>
      <c r="IV128" s="42"/>
    </row>
    <row r="129" spans="1:256" ht="15">
      <c r="A129" s="11"/>
      <c r="D129" s="1"/>
      <c r="IR129" s="42"/>
      <c r="IS129" s="42"/>
      <c r="IT129" s="42"/>
      <c r="IU129" s="42"/>
      <c r="IV129" s="42"/>
    </row>
    <row r="130" spans="1:256" ht="15">
      <c r="A130" s="11"/>
      <c r="D130" s="1"/>
      <c r="IR130" s="42"/>
      <c r="IS130" s="42"/>
      <c r="IT130" s="42"/>
      <c r="IU130" s="42"/>
      <c r="IV130" s="42"/>
    </row>
    <row r="131" spans="1:256" ht="15">
      <c r="A131" s="11"/>
      <c r="D131" s="1"/>
      <c r="IR131" s="42"/>
      <c r="IS131" s="42"/>
      <c r="IT131" s="42"/>
      <c r="IU131" s="42"/>
      <c r="IV131" s="42"/>
    </row>
    <row r="132" spans="1:256" ht="15">
      <c r="A132" s="11"/>
      <c r="D132" s="1"/>
      <c r="IR132" s="42"/>
      <c r="IS132" s="42"/>
      <c r="IT132" s="42"/>
      <c r="IU132" s="42"/>
      <c r="IV132" s="42"/>
    </row>
    <row r="133" spans="1:256" ht="15">
      <c r="A133" s="11"/>
      <c r="D133" s="1"/>
      <c r="IR133" s="42"/>
      <c r="IS133" s="42"/>
      <c r="IT133" s="42"/>
      <c r="IU133" s="42"/>
      <c r="IV133" s="42"/>
    </row>
    <row r="134" spans="1:256" ht="15">
      <c r="A134" s="11"/>
      <c r="D134" s="1"/>
      <c r="IR134" s="42"/>
      <c r="IS134" s="42"/>
      <c r="IT134" s="42"/>
      <c r="IU134" s="42"/>
      <c r="IV134" s="42"/>
    </row>
    <row r="135" spans="1:256" ht="15">
      <c r="A135" s="11"/>
      <c r="D135" s="1"/>
      <c r="IR135" s="42"/>
      <c r="IS135" s="42"/>
      <c r="IT135" s="42"/>
      <c r="IU135" s="42"/>
      <c r="IV135" s="42"/>
    </row>
    <row r="136" spans="1:256" ht="15">
      <c r="A136" s="11"/>
      <c r="D136" s="1"/>
      <c r="IR136" s="42"/>
      <c r="IS136" s="42"/>
      <c r="IT136" s="42"/>
      <c r="IU136" s="42"/>
      <c r="IV136" s="42"/>
    </row>
    <row r="137" spans="1:256" ht="15">
      <c r="A137" s="11"/>
      <c r="D137" s="1"/>
      <c r="IR137" s="42"/>
      <c r="IS137" s="42"/>
      <c r="IT137" s="42"/>
      <c r="IU137" s="42"/>
      <c r="IV137" s="42"/>
    </row>
    <row r="138" spans="1:256" ht="15">
      <c r="A138" s="11"/>
      <c r="D138" s="1"/>
      <c r="IR138" s="42"/>
      <c r="IS138" s="42"/>
      <c r="IT138" s="42"/>
      <c r="IU138" s="42"/>
      <c r="IV138" s="42"/>
    </row>
    <row r="139" spans="1:256" ht="15">
      <c r="A139" s="11"/>
      <c r="D139" s="1"/>
      <c r="IR139" s="42"/>
      <c r="IS139" s="42"/>
      <c r="IT139" s="42"/>
      <c r="IU139" s="42"/>
      <c r="IV139" s="42"/>
    </row>
    <row r="140" spans="1:256" ht="15">
      <c r="A140" s="11"/>
      <c r="D140" s="1"/>
      <c r="IR140" s="42"/>
      <c r="IS140" s="42"/>
      <c r="IT140" s="42"/>
      <c r="IU140" s="42"/>
      <c r="IV140" s="42"/>
    </row>
    <row r="141" spans="1:256" ht="15">
      <c r="A141" s="11"/>
      <c r="D141" s="1"/>
      <c r="IR141" s="42"/>
      <c r="IS141" s="42"/>
      <c r="IT141" s="42"/>
      <c r="IU141" s="42"/>
      <c r="IV141" s="42"/>
    </row>
    <row r="142" spans="1:256" ht="15">
      <c r="A142" s="11"/>
      <c r="D142" s="1"/>
      <c r="IR142" s="42"/>
      <c r="IS142" s="42"/>
      <c r="IT142" s="42"/>
      <c r="IU142" s="42"/>
      <c r="IV142" s="42"/>
    </row>
    <row r="143" spans="1:256" ht="15">
      <c r="A143" s="11"/>
      <c r="D143" s="1"/>
      <c r="IR143" s="42"/>
      <c r="IS143" s="42"/>
      <c r="IT143" s="42"/>
      <c r="IU143" s="42"/>
      <c r="IV143" s="42"/>
    </row>
    <row r="144" spans="1:256" ht="15">
      <c r="A144" s="11"/>
      <c r="D144" s="1"/>
      <c r="IR144" s="42"/>
      <c r="IS144" s="42"/>
      <c r="IT144" s="42"/>
      <c r="IU144" s="42"/>
      <c r="IV144" s="42"/>
    </row>
    <row r="145" spans="1:256" ht="15">
      <c r="A145" s="11"/>
      <c r="D145" s="1"/>
      <c r="IR145" s="42"/>
      <c r="IS145" s="42"/>
      <c r="IT145" s="42"/>
      <c r="IU145" s="42"/>
      <c r="IV145" s="42"/>
    </row>
    <row r="146" spans="1:256" ht="15">
      <c r="A146" s="11"/>
      <c r="D146" s="1"/>
      <c r="IR146" s="42"/>
      <c r="IS146" s="42"/>
      <c r="IT146" s="42"/>
      <c r="IU146" s="42"/>
      <c r="IV146" s="42"/>
    </row>
    <row r="147" spans="1:256" ht="15">
      <c r="A147" s="11"/>
      <c r="D147" s="1"/>
      <c r="IR147" s="42"/>
      <c r="IS147" s="42"/>
      <c r="IT147" s="42"/>
      <c r="IU147" s="42"/>
      <c r="IV147" s="42"/>
    </row>
    <row r="148" spans="1:256" ht="15">
      <c r="A148" s="11"/>
      <c r="D148" s="1"/>
      <c r="IR148" s="42"/>
      <c r="IS148" s="42"/>
      <c r="IT148" s="42"/>
      <c r="IU148" s="42"/>
      <c r="IV148" s="42"/>
    </row>
    <row r="149" spans="1:256" ht="15">
      <c r="A149" s="11"/>
      <c r="D149" s="1"/>
      <c r="IR149" s="42"/>
      <c r="IS149" s="42"/>
      <c r="IT149" s="42"/>
      <c r="IU149" s="42"/>
      <c r="IV149" s="42"/>
    </row>
    <row r="150" spans="1:256" ht="15">
      <c r="A150" s="11"/>
      <c r="D150" s="1"/>
      <c r="IR150" s="42"/>
      <c r="IS150" s="42"/>
      <c r="IT150" s="42"/>
      <c r="IU150" s="42"/>
      <c r="IV150" s="42"/>
    </row>
    <row r="151" spans="1:256" ht="15">
      <c r="A151" s="11"/>
      <c r="D151" s="1"/>
      <c r="IR151" s="42"/>
      <c r="IS151" s="42"/>
      <c r="IT151" s="42"/>
      <c r="IU151" s="42"/>
      <c r="IV151" s="42"/>
    </row>
    <row r="152" spans="1:256" ht="15">
      <c r="A152" s="11"/>
      <c r="D152" s="1"/>
      <c r="IR152" s="42"/>
      <c r="IS152" s="42"/>
      <c r="IT152" s="42"/>
      <c r="IU152" s="42"/>
      <c r="IV152" s="42"/>
    </row>
    <row r="153" spans="1:256" ht="15">
      <c r="A153" s="11"/>
      <c r="D153" s="1"/>
      <c r="IR153" s="42"/>
      <c r="IS153" s="42"/>
      <c r="IT153" s="42"/>
      <c r="IU153" s="42"/>
      <c r="IV153" s="42"/>
    </row>
    <row r="154" spans="1:256" ht="15">
      <c r="A154" s="11"/>
      <c r="D154" s="1"/>
      <c r="IR154" s="42"/>
      <c r="IS154" s="42"/>
      <c r="IT154" s="42"/>
      <c r="IU154" s="42"/>
      <c r="IV154" s="42"/>
    </row>
    <row r="155" spans="1:256" ht="15">
      <c r="A155" s="11"/>
      <c r="D155" s="1"/>
      <c r="IR155" s="42"/>
      <c r="IS155" s="42"/>
      <c r="IT155" s="42"/>
      <c r="IU155" s="42"/>
      <c r="IV155" s="42"/>
    </row>
    <row r="156" spans="1:256" ht="15">
      <c r="A156" s="11"/>
      <c r="D156" s="1"/>
      <c r="IR156" s="42"/>
      <c r="IS156" s="42"/>
      <c r="IT156" s="42"/>
      <c r="IU156" s="42"/>
      <c r="IV156" s="42"/>
    </row>
    <row r="157" spans="1:256" ht="15">
      <c r="A157" s="11"/>
      <c r="D157" s="1"/>
      <c r="IR157" s="42"/>
      <c r="IS157" s="42"/>
      <c r="IT157" s="42"/>
      <c r="IU157" s="42"/>
      <c r="IV157" s="42"/>
    </row>
    <row r="158" spans="1:256" ht="15">
      <c r="A158" s="11"/>
      <c r="D158" s="1"/>
      <c r="IR158" s="42"/>
      <c r="IS158" s="42"/>
      <c r="IT158" s="42"/>
      <c r="IU158" s="42"/>
      <c r="IV158" s="42"/>
    </row>
    <row r="159" spans="1:256" ht="15">
      <c r="A159" s="11"/>
      <c r="D159" s="1"/>
      <c r="IR159" s="42"/>
      <c r="IS159" s="42"/>
      <c r="IT159" s="42"/>
      <c r="IU159" s="42"/>
      <c r="IV159" s="42"/>
    </row>
    <row r="160" spans="1:256" ht="15">
      <c r="A160" s="11"/>
      <c r="D160" s="1"/>
      <c r="IR160" s="42"/>
      <c r="IS160" s="42"/>
      <c r="IT160" s="42"/>
      <c r="IU160" s="42"/>
      <c r="IV160" s="42"/>
    </row>
    <row r="161" spans="1:256" ht="15">
      <c r="A161" s="11"/>
      <c r="D161" s="1"/>
      <c r="IR161" s="42"/>
      <c r="IS161" s="42"/>
      <c r="IT161" s="42"/>
      <c r="IU161" s="42"/>
      <c r="IV161" s="42"/>
    </row>
    <row r="162" spans="1:256" ht="15">
      <c r="A162" s="11"/>
      <c r="D162" s="1"/>
      <c r="IR162" s="42"/>
      <c r="IS162" s="42"/>
      <c r="IT162" s="42"/>
      <c r="IU162" s="42"/>
      <c r="IV162" s="42"/>
    </row>
    <row r="163" spans="1:256" ht="15">
      <c r="A163" s="11"/>
      <c r="D163" s="1"/>
      <c r="IR163" s="42"/>
      <c r="IS163" s="42"/>
      <c r="IT163" s="42"/>
      <c r="IU163" s="42"/>
      <c r="IV163" s="42"/>
    </row>
    <row r="164" spans="1:256" ht="15">
      <c r="A164" s="11"/>
      <c r="D164" s="1"/>
      <c r="IR164" s="42"/>
      <c r="IS164" s="42"/>
      <c r="IT164" s="42"/>
      <c r="IU164" s="42"/>
      <c r="IV164" s="42"/>
    </row>
    <row r="165" spans="1:256" ht="15">
      <c r="A165" s="11"/>
      <c r="D165" s="1"/>
      <c r="IR165" s="42"/>
      <c r="IS165" s="42"/>
      <c r="IT165" s="42"/>
      <c r="IU165" s="42"/>
      <c r="IV165" s="42"/>
    </row>
    <row r="166" spans="1:256" ht="15">
      <c r="A166" s="11"/>
      <c r="D166" s="1"/>
      <c r="IR166" s="42"/>
      <c r="IS166" s="42"/>
      <c r="IT166" s="42"/>
      <c r="IU166" s="42"/>
      <c r="IV166" s="42"/>
    </row>
    <row r="167" spans="1:256" ht="15">
      <c r="A167" s="11"/>
      <c r="D167" s="1"/>
      <c r="IR167" s="42"/>
      <c r="IS167" s="42"/>
      <c r="IT167" s="42"/>
      <c r="IU167" s="42"/>
      <c r="IV167" s="42"/>
    </row>
    <row r="168" spans="1:256" ht="15">
      <c r="A168" s="11"/>
      <c r="D168" s="1"/>
      <c r="IR168" s="42"/>
      <c r="IS168" s="42"/>
      <c r="IT168" s="42"/>
      <c r="IU168" s="42"/>
      <c r="IV168" s="42"/>
    </row>
    <row r="169" spans="1:256" ht="15">
      <c r="A169" s="11"/>
      <c r="D169" s="1"/>
      <c r="IR169" s="42"/>
      <c r="IS169" s="42"/>
      <c r="IT169" s="42"/>
      <c r="IU169" s="42"/>
      <c r="IV169" s="42"/>
    </row>
    <row r="170" spans="1:256" ht="15">
      <c r="A170" s="11"/>
      <c r="D170" s="1"/>
      <c r="IR170" s="42"/>
      <c r="IS170" s="42"/>
      <c r="IT170" s="42"/>
      <c r="IU170" s="42"/>
      <c r="IV170" s="42"/>
    </row>
    <row r="171" spans="1:256" ht="15">
      <c r="A171" s="11"/>
      <c r="D171" s="1"/>
      <c r="IR171" s="42"/>
      <c r="IS171" s="42"/>
      <c r="IT171" s="42"/>
      <c r="IU171" s="42"/>
      <c r="IV171" s="42"/>
    </row>
    <row r="172" spans="1:256" ht="15">
      <c r="A172" s="11"/>
      <c r="D172" s="1"/>
      <c r="IR172" s="42"/>
      <c r="IS172" s="42"/>
      <c r="IT172" s="42"/>
      <c r="IU172" s="42"/>
      <c r="IV172" s="42"/>
    </row>
    <row r="173" spans="1:256" ht="15">
      <c r="A173" s="11"/>
      <c r="D173" s="1"/>
      <c r="IR173" s="42"/>
      <c r="IS173" s="42"/>
      <c r="IT173" s="42"/>
      <c r="IU173" s="42"/>
      <c r="IV173" s="42"/>
    </row>
    <row r="174" spans="1:256" ht="15">
      <c r="A174" s="11"/>
      <c r="D174" s="1"/>
      <c r="IR174" s="42"/>
      <c r="IS174" s="42"/>
      <c r="IT174" s="42"/>
      <c r="IU174" s="42"/>
      <c r="IV174" s="42"/>
    </row>
    <row r="175" spans="1:256" ht="15">
      <c r="A175" s="11"/>
      <c r="D175" s="1"/>
      <c r="IR175" s="42"/>
      <c r="IS175" s="42"/>
      <c r="IT175" s="42"/>
      <c r="IU175" s="42"/>
      <c r="IV175" s="42"/>
    </row>
    <row r="176" spans="1:256" ht="15">
      <c r="A176" s="11"/>
      <c r="D176" s="1"/>
      <c r="IR176" s="42"/>
      <c r="IS176" s="42"/>
      <c r="IT176" s="42"/>
      <c r="IU176" s="42"/>
      <c r="IV176" s="42"/>
    </row>
    <row r="177" spans="1:256" ht="15">
      <c r="A177" s="11"/>
      <c r="D177" s="1"/>
      <c r="IR177" s="42"/>
      <c r="IS177" s="42"/>
      <c r="IT177" s="42"/>
      <c r="IU177" s="42"/>
      <c r="IV177" s="42"/>
    </row>
    <row r="178" spans="1:256" ht="15">
      <c r="A178" s="11"/>
      <c r="D178" s="1"/>
      <c r="IR178" s="42"/>
      <c r="IS178" s="42"/>
      <c r="IT178" s="42"/>
      <c r="IU178" s="42"/>
      <c r="IV178" s="42"/>
    </row>
    <row r="179" spans="1:256" ht="15">
      <c r="A179" s="11"/>
      <c r="D179" s="1"/>
      <c r="IR179" s="42"/>
      <c r="IS179" s="42"/>
      <c r="IT179" s="42"/>
      <c r="IU179" s="42"/>
      <c r="IV179" s="42"/>
    </row>
    <row r="180" spans="1:256" ht="15">
      <c r="A180" s="11"/>
      <c r="D180" s="1"/>
      <c r="IR180" s="42"/>
      <c r="IS180" s="42"/>
      <c r="IT180" s="42"/>
      <c r="IU180" s="42"/>
      <c r="IV180" s="42"/>
    </row>
    <row r="181" spans="1:256" ht="15">
      <c r="A181" s="11"/>
      <c r="D181" s="1"/>
      <c r="IR181" s="42"/>
      <c r="IS181" s="42"/>
      <c r="IT181" s="42"/>
      <c r="IU181" s="42"/>
      <c r="IV181" s="42"/>
    </row>
    <row r="182" spans="1:256" ht="15">
      <c r="A182" s="11"/>
      <c r="D182" s="1"/>
      <c r="IR182" s="42"/>
      <c r="IS182" s="42"/>
      <c r="IT182" s="42"/>
      <c r="IU182" s="42"/>
      <c r="IV182" s="42"/>
    </row>
    <row r="183" spans="1:256" ht="15">
      <c r="A183" s="11"/>
      <c r="D183" s="1"/>
      <c r="IR183" s="42"/>
      <c r="IS183" s="42"/>
      <c r="IT183" s="42"/>
      <c r="IU183" s="42"/>
      <c r="IV183" s="42"/>
    </row>
    <row r="184" spans="1:256" ht="15">
      <c r="A184" s="11"/>
      <c r="D184" s="1"/>
      <c r="IR184" s="42"/>
      <c r="IS184" s="42"/>
      <c r="IT184" s="42"/>
      <c r="IU184" s="42"/>
      <c r="IV184" s="42"/>
    </row>
    <row r="185" spans="1:256" ht="15">
      <c r="A185" s="11"/>
      <c r="D185" s="1"/>
      <c r="IR185" s="42"/>
      <c r="IS185" s="42"/>
      <c r="IT185" s="42"/>
      <c r="IU185" s="42"/>
      <c r="IV185" s="42"/>
    </row>
    <row r="186" spans="1:256" ht="15">
      <c r="A186" s="11"/>
      <c r="D186" s="1"/>
      <c r="IR186" s="42"/>
      <c r="IS186" s="42"/>
      <c r="IT186" s="42"/>
      <c r="IU186" s="42"/>
      <c r="IV186" s="42"/>
    </row>
    <row r="187" spans="1:256" ht="15">
      <c r="A187" s="11"/>
      <c r="D187" s="1"/>
      <c r="IR187" s="42"/>
      <c r="IS187" s="42"/>
      <c r="IT187" s="42"/>
      <c r="IU187" s="42"/>
      <c r="IV187" s="42"/>
    </row>
    <row r="188" spans="1:256" ht="15">
      <c r="A188" s="11"/>
      <c r="D188" s="1"/>
      <c r="IR188" s="42"/>
      <c r="IS188" s="42"/>
      <c r="IT188" s="42"/>
      <c r="IU188" s="42"/>
      <c r="IV188" s="42"/>
    </row>
    <row r="189" spans="1:256" ht="15">
      <c r="A189" s="11"/>
      <c r="D189" s="1"/>
      <c r="IR189" s="42"/>
      <c r="IS189" s="42"/>
      <c r="IT189" s="42"/>
      <c r="IU189" s="42"/>
      <c r="IV189" s="42"/>
    </row>
    <row r="190" spans="1:256" ht="15">
      <c r="A190" s="11"/>
      <c r="D190" s="1"/>
      <c r="IR190" s="42"/>
      <c r="IS190" s="42"/>
      <c r="IT190" s="42"/>
      <c r="IU190" s="42"/>
      <c r="IV190" s="42"/>
    </row>
    <row r="191" spans="1:256" ht="15">
      <c r="A191" s="11"/>
      <c r="D191" s="1"/>
      <c r="IR191" s="42"/>
      <c r="IS191" s="42"/>
      <c r="IT191" s="42"/>
      <c r="IU191" s="42"/>
      <c r="IV191" s="42"/>
    </row>
    <row r="192" spans="1:256" ht="15">
      <c r="A192" s="11"/>
      <c r="D192" s="1"/>
      <c r="IR192" s="42"/>
      <c r="IS192" s="42"/>
      <c r="IT192" s="42"/>
      <c r="IU192" s="42"/>
      <c r="IV192" s="42"/>
    </row>
    <row r="193" spans="1:256" ht="15">
      <c r="A193" s="11"/>
      <c r="D193" s="1"/>
      <c r="IR193" s="42"/>
      <c r="IS193" s="42"/>
      <c r="IT193" s="42"/>
      <c r="IU193" s="42"/>
      <c r="IV193" s="42"/>
    </row>
    <row r="194" spans="1:256" ht="15">
      <c r="A194" s="11"/>
      <c r="D194" s="1"/>
      <c r="IR194" s="42"/>
      <c r="IS194" s="42"/>
      <c r="IT194" s="42"/>
      <c r="IU194" s="42"/>
      <c r="IV194" s="42"/>
    </row>
    <row r="195" spans="1:256" ht="15">
      <c r="A195" s="11"/>
      <c r="D195" s="1"/>
      <c r="IR195" s="42"/>
      <c r="IS195" s="42"/>
      <c r="IT195" s="42"/>
      <c r="IU195" s="42"/>
      <c r="IV195" s="42"/>
    </row>
    <row r="196" spans="1:256" ht="15">
      <c r="A196" s="11"/>
      <c r="D196" s="1"/>
      <c r="IR196" s="42"/>
      <c r="IS196" s="42"/>
      <c r="IT196" s="42"/>
      <c r="IU196" s="42"/>
      <c r="IV196" s="42"/>
    </row>
    <row r="197" spans="1:256" ht="15">
      <c r="A197" s="11"/>
      <c r="D197" s="1"/>
      <c r="IR197" s="42"/>
      <c r="IS197" s="42"/>
      <c r="IT197" s="42"/>
      <c r="IU197" s="42"/>
      <c r="IV197" s="42"/>
    </row>
    <row r="198" spans="1:256" ht="15">
      <c r="A198" s="11"/>
      <c r="D198" s="1"/>
      <c r="IR198" s="42"/>
      <c r="IS198" s="42"/>
      <c r="IT198" s="42"/>
      <c r="IU198" s="42"/>
      <c r="IV198" s="42"/>
    </row>
    <row r="199" spans="1:256" ht="15">
      <c r="A199" s="11"/>
      <c r="D199" s="1"/>
      <c r="IR199" s="42"/>
      <c r="IS199" s="42"/>
      <c r="IT199" s="42"/>
      <c r="IU199" s="42"/>
      <c r="IV199" s="42"/>
    </row>
    <row r="200" spans="1:256" ht="15">
      <c r="A200" s="11"/>
      <c r="D200" s="1"/>
      <c r="IR200" s="42"/>
      <c r="IS200" s="42"/>
      <c r="IT200" s="42"/>
      <c r="IU200" s="42"/>
      <c r="IV200" s="42"/>
    </row>
    <row r="201" spans="1:256" ht="15">
      <c r="A201" s="11"/>
      <c r="D201" s="1"/>
      <c r="IR201" s="42"/>
      <c r="IS201" s="42"/>
      <c r="IT201" s="42"/>
      <c r="IU201" s="42"/>
      <c r="IV201" s="42"/>
    </row>
    <row r="202" spans="1:256" ht="15">
      <c r="A202" s="11"/>
      <c r="D202" s="1"/>
      <c r="IR202" s="42"/>
      <c r="IS202" s="42"/>
      <c r="IT202" s="42"/>
      <c r="IU202" s="42"/>
      <c r="IV202" s="42"/>
    </row>
    <row r="203" spans="1:256" ht="15">
      <c r="A203" s="11"/>
      <c r="D203" s="1"/>
      <c r="IR203" s="42"/>
      <c r="IS203" s="42"/>
      <c r="IT203" s="42"/>
      <c r="IU203" s="42"/>
      <c r="IV203" s="42"/>
    </row>
    <row r="204" spans="1:256" ht="15">
      <c r="A204" s="11"/>
      <c r="D204" s="1"/>
      <c r="IR204" s="42"/>
      <c r="IS204" s="42"/>
      <c r="IT204" s="42"/>
      <c r="IU204" s="42"/>
      <c r="IV204" s="42"/>
    </row>
    <row r="205" spans="1:256" ht="15">
      <c r="A205" s="11"/>
      <c r="D205" s="1"/>
      <c r="IR205" s="42"/>
      <c r="IS205" s="42"/>
      <c r="IT205" s="42"/>
      <c r="IU205" s="42"/>
      <c r="IV205" s="42"/>
    </row>
    <row r="206" spans="1:256" ht="15">
      <c r="A206" s="11"/>
      <c r="D206" s="1"/>
      <c r="IR206" s="42"/>
      <c r="IS206" s="42"/>
      <c r="IT206" s="42"/>
      <c r="IU206" s="42"/>
      <c r="IV206" s="42"/>
    </row>
    <row r="207" spans="1:256" ht="15">
      <c r="A207" s="11"/>
      <c r="D207" s="1"/>
      <c r="IR207" s="42"/>
      <c r="IS207" s="42"/>
      <c r="IT207" s="42"/>
      <c r="IU207" s="42"/>
      <c r="IV207" s="42"/>
    </row>
    <row r="208" spans="1:256" ht="15">
      <c r="A208" s="11"/>
      <c r="D208" s="1"/>
      <c r="IR208" s="42"/>
      <c r="IS208" s="42"/>
      <c r="IT208" s="42"/>
      <c r="IU208" s="42"/>
      <c r="IV208" s="42"/>
    </row>
    <row r="209" spans="1:256" ht="15">
      <c r="A209" s="11"/>
      <c r="D209" s="1"/>
      <c r="IR209" s="42"/>
      <c r="IS209" s="42"/>
      <c r="IT209" s="42"/>
      <c r="IU209" s="42"/>
      <c r="IV209" s="42"/>
    </row>
    <row r="210" spans="1:256" ht="15">
      <c r="A210" s="11"/>
      <c r="D210" s="1"/>
      <c r="IR210" s="42"/>
      <c r="IS210" s="42"/>
      <c r="IT210" s="42"/>
      <c r="IU210" s="42"/>
      <c r="IV210" s="42"/>
    </row>
    <row r="211" spans="1:256" ht="15">
      <c r="A211" s="11"/>
      <c r="D211" s="1"/>
      <c r="IR211" s="42"/>
      <c r="IS211" s="42"/>
      <c r="IT211" s="42"/>
      <c r="IU211" s="42"/>
      <c r="IV211" s="42"/>
    </row>
    <row r="212" spans="1:256" ht="15">
      <c r="A212" s="11"/>
      <c r="D212" s="1"/>
      <c r="IR212" s="42"/>
      <c r="IS212" s="42"/>
      <c r="IT212" s="42"/>
      <c r="IU212" s="42"/>
      <c r="IV212" s="42"/>
    </row>
    <row r="213" spans="1:256" ht="15">
      <c r="A213" s="11"/>
      <c r="D213" s="1"/>
      <c r="IR213" s="42"/>
      <c r="IS213" s="42"/>
      <c r="IT213" s="42"/>
      <c r="IU213" s="42"/>
      <c r="IV213" s="42"/>
    </row>
    <row r="214" spans="1:256" ht="15">
      <c r="A214" s="11"/>
      <c r="D214" s="1"/>
      <c r="IR214" s="42"/>
      <c r="IS214" s="42"/>
      <c r="IT214" s="42"/>
      <c r="IU214" s="42"/>
      <c r="IV214" s="42"/>
    </row>
    <row r="215" spans="1:256" ht="15">
      <c r="A215" s="11"/>
      <c r="D215" s="1"/>
      <c r="IR215" s="42"/>
      <c r="IS215" s="42"/>
      <c r="IT215" s="42"/>
      <c r="IU215" s="42"/>
      <c r="IV215" s="42"/>
    </row>
    <row r="216" spans="1:256" ht="15">
      <c r="A216" s="11"/>
      <c r="D216" s="1"/>
      <c r="IR216" s="42"/>
      <c r="IS216" s="42"/>
      <c r="IT216" s="42"/>
      <c r="IU216" s="42"/>
      <c r="IV216" s="42"/>
    </row>
    <row r="217" spans="1:256" ht="15">
      <c r="A217" s="11"/>
      <c r="D217" s="1"/>
      <c r="IR217" s="42"/>
      <c r="IS217" s="42"/>
      <c r="IT217" s="42"/>
      <c r="IU217" s="42"/>
      <c r="IV217" s="42"/>
    </row>
    <row r="218" spans="1:256" ht="15">
      <c r="A218" s="11"/>
      <c r="D218" s="1"/>
      <c r="IR218" s="42"/>
      <c r="IS218" s="42"/>
      <c r="IT218" s="42"/>
      <c r="IU218" s="42"/>
      <c r="IV218" s="42"/>
    </row>
    <row r="219" spans="1:256" ht="15">
      <c r="A219" s="11"/>
      <c r="D219" s="1"/>
      <c r="IR219" s="42"/>
      <c r="IS219" s="42"/>
      <c r="IT219" s="42"/>
      <c r="IU219" s="42"/>
      <c r="IV219" s="42"/>
    </row>
    <row r="220" spans="1:256" ht="15">
      <c r="A220" s="11"/>
      <c r="D220" s="1"/>
      <c r="IR220" s="42"/>
      <c r="IS220" s="42"/>
      <c r="IT220" s="42"/>
      <c r="IU220" s="42"/>
      <c r="IV220" s="42"/>
    </row>
    <row r="221" spans="1:256" ht="15">
      <c r="A221" s="11"/>
      <c r="D221" s="1"/>
      <c r="IR221" s="42"/>
      <c r="IS221" s="42"/>
      <c r="IT221" s="42"/>
      <c r="IU221" s="42"/>
      <c r="IV221" s="42"/>
    </row>
    <row r="222" spans="1:256" ht="15">
      <c r="A222" s="11"/>
      <c r="D222" s="1"/>
      <c r="IR222" s="42"/>
      <c r="IS222" s="42"/>
      <c r="IT222" s="42"/>
      <c r="IU222" s="42"/>
      <c r="IV222" s="42"/>
    </row>
    <row r="223" spans="1:256" ht="15">
      <c r="A223" s="11"/>
      <c r="D223" s="1"/>
      <c r="IR223" s="42"/>
      <c r="IS223" s="42"/>
      <c r="IT223" s="42"/>
      <c r="IU223" s="42"/>
      <c r="IV223" s="42"/>
    </row>
    <row r="224" spans="1:256" ht="15">
      <c r="A224" s="11"/>
      <c r="D224" s="1"/>
      <c r="IR224" s="42"/>
      <c r="IS224" s="42"/>
      <c r="IT224" s="42"/>
      <c r="IU224" s="42"/>
      <c r="IV224" s="42"/>
    </row>
    <row r="225" spans="1:256" ht="15">
      <c r="A225" s="11"/>
      <c r="D225" s="1"/>
      <c r="IR225" s="42"/>
      <c r="IS225" s="42"/>
      <c r="IT225" s="42"/>
      <c r="IU225" s="42"/>
      <c r="IV225" s="42"/>
    </row>
    <row r="226" spans="1:256" ht="15">
      <c r="A226" s="11"/>
      <c r="D226" s="1"/>
      <c r="IR226" s="42"/>
      <c r="IS226" s="42"/>
      <c r="IT226" s="42"/>
      <c r="IU226" s="42"/>
      <c r="IV226" s="42"/>
    </row>
    <row r="227" spans="1:256" ht="15">
      <c r="A227" s="11"/>
      <c r="D227" s="1"/>
      <c r="IR227" s="42"/>
      <c r="IS227" s="42"/>
      <c r="IT227" s="42"/>
      <c r="IU227" s="42"/>
      <c r="IV227" s="42"/>
    </row>
    <row r="228" spans="1:256" ht="15">
      <c r="A228" s="11"/>
      <c r="D228" s="1"/>
      <c r="IR228" s="42"/>
      <c r="IS228" s="42"/>
      <c r="IT228" s="42"/>
      <c r="IU228" s="42"/>
      <c r="IV228" s="42"/>
    </row>
    <row r="229" spans="1:256" ht="15">
      <c r="A229" s="11"/>
      <c r="D229" s="1"/>
      <c r="IR229" s="42"/>
      <c r="IS229" s="42"/>
      <c r="IT229" s="42"/>
      <c r="IU229" s="42"/>
      <c r="IV229" s="42"/>
    </row>
    <row r="230" spans="1:256" ht="15">
      <c r="A230" s="11"/>
      <c r="D230" s="1"/>
      <c r="IR230" s="42"/>
      <c r="IS230" s="42"/>
      <c r="IT230" s="42"/>
      <c r="IU230" s="42"/>
      <c r="IV230" s="42"/>
    </row>
    <row r="231" spans="1:256" ht="15">
      <c r="A231" s="11"/>
      <c r="D231" s="1"/>
      <c r="IR231" s="42"/>
      <c r="IS231" s="42"/>
      <c r="IT231" s="42"/>
      <c r="IU231" s="42"/>
      <c r="IV231" s="42"/>
    </row>
    <row r="232" spans="1:256" ht="15">
      <c r="A232" s="11"/>
      <c r="D232" s="1"/>
      <c r="IR232" s="42"/>
      <c r="IS232" s="42"/>
      <c r="IT232" s="42"/>
      <c r="IU232" s="42"/>
      <c r="IV232" s="42"/>
    </row>
    <row r="233" spans="1:256" ht="15">
      <c r="A233" s="11"/>
      <c r="D233" s="1"/>
      <c r="IR233" s="42"/>
      <c r="IS233" s="42"/>
      <c r="IT233" s="42"/>
      <c r="IU233" s="42"/>
      <c r="IV233" s="42"/>
    </row>
    <row r="234" spans="1:256" ht="15">
      <c r="A234" s="11"/>
      <c r="D234" s="1"/>
      <c r="IR234" s="42"/>
      <c r="IS234" s="42"/>
      <c r="IT234" s="42"/>
      <c r="IU234" s="42"/>
      <c r="IV234" s="42"/>
    </row>
    <row r="235" spans="1:256" ht="15">
      <c r="A235" s="11"/>
      <c r="D235" s="1"/>
      <c r="IR235" s="42"/>
      <c r="IS235" s="42"/>
      <c r="IT235" s="42"/>
      <c r="IU235" s="42"/>
      <c r="IV235" s="42"/>
    </row>
    <row r="236" spans="1:256" ht="15">
      <c r="A236" s="11"/>
      <c r="D236" s="1"/>
      <c r="IR236" s="42"/>
      <c r="IS236" s="42"/>
      <c r="IT236" s="42"/>
      <c r="IU236" s="42"/>
      <c r="IV236" s="42"/>
    </row>
    <row r="237" spans="1:256" ht="15">
      <c r="A237" s="11"/>
      <c r="D237" s="1"/>
      <c r="IR237" s="42"/>
      <c r="IS237" s="42"/>
      <c r="IT237" s="42"/>
      <c r="IU237" s="42"/>
      <c r="IV237" s="42"/>
    </row>
    <row r="238" spans="1:256" ht="15">
      <c r="A238" s="11"/>
      <c r="D238" s="1"/>
      <c r="IR238" s="42"/>
      <c r="IS238" s="42"/>
      <c r="IT238" s="42"/>
      <c r="IU238" s="42"/>
      <c r="IV238" s="42"/>
    </row>
    <row r="239" spans="1:256" ht="15">
      <c r="A239" s="11"/>
      <c r="D239" s="1"/>
      <c r="IR239" s="42"/>
      <c r="IS239" s="42"/>
      <c r="IT239" s="42"/>
      <c r="IU239" s="42"/>
      <c r="IV239" s="42"/>
    </row>
    <row r="240" spans="1:256" ht="15">
      <c r="A240" s="11"/>
      <c r="D240" s="1"/>
      <c r="IR240" s="42"/>
      <c r="IS240" s="42"/>
      <c r="IT240" s="42"/>
      <c r="IU240" s="42"/>
      <c r="IV240" s="42"/>
    </row>
    <row r="241" spans="1:256" ht="15">
      <c r="A241" s="11"/>
      <c r="D241" s="1"/>
      <c r="IR241" s="42"/>
      <c r="IS241" s="42"/>
      <c r="IT241" s="42"/>
      <c r="IU241" s="42"/>
      <c r="IV241" s="42"/>
    </row>
    <row r="242" spans="1:256" ht="15">
      <c r="A242" s="11"/>
      <c r="D242" s="1"/>
      <c r="IR242" s="42"/>
      <c r="IS242" s="42"/>
      <c r="IT242" s="42"/>
      <c r="IU242" s="42"/>
      <c r="IV242" s="42"/>
    </row>
    <row r="243" spans="1:256" ht="15">
      <c r="A243" s="11"/>
      <c r="D243" s="1"/>
      <c r="IR243" s="42"/>
      <c r="IS243" s="42"/>
      <c r="IT243" s="42"/>
      <c r="IU243" s="42"/>
      <c r="IV243" s="42"/>
    </row>
    <row r="244" spans="1:256" ht="15">
      <c r="A244" s="11"/>
      <c r="D244" s="1"/>
      <c r="IR244" s="42"/>
      <c r="IS244" s="42"/>
      <c r="IT244" s="42"/>
      <c r="IU244" s="42"/>
      <c r="IV244" s="42"/>
    </row>
    <row r="245" spans="1:256" ht="15">
      <c r="A245" s="11"/>
      <c r="D245" s="1"/>
      <c r="IR245" s="42"/>
      <c r="IS245" s="42"/>
      <c r="IT245" s="42"/>
      <c r="IU245" s="42"/>
      <c r="IV245" s="42"/>
    </row>
    <row r="246" spans="1:256" ht="15">
      <c r="A246" s="11"/>
      <c r="D246" s="1"/>
      <c r="IR246" s="42"/>
      <c r="IS246" s="42"/>
      <c r="IT246" s="42"/>
      <c r="IU246" s="42"/>
      <c r="IV246" s="42"/>
    </row>
    <row r="247" spans="1:256" ht="15">
      <c r="A247" s="11"/>
      <c r="D247" s="1"/>
      <c r="IR247" s="42"/>
      <c r="IS247" s="42"/>
      <c r="IT247" s="42"/>
      <c r="IU247" s="42"/>
      <c r="IV247" s="42"/>
    </row>
    <row r="248" spans="1:256" ht="15">
      <c r="A248" s="11"/>
      <c r="D248" s="1"/>
      <c r="IR248" s="42"/>
      <c r="IS248" s="42"/>
      <c r="IT248" s="42"/>
      <c r="IU248" s="42"/>
      <c r="IV248" s="42"/>
    </row>
    <row r="249" spans="1:256" ht="15">
      <c r="A249" s="11"/>
      <c r="IR249" s="42"/>
      <c r="IS249" s="42"/>
      <c r="IT249" s="42"/>
      <c r="IU249" s="42"/>
      <c r="IV249" s="42"/>
    </row>
    <row r="250" spans="1:256" ht="15">
      <c r="A250" s="11"/>
      <c r="IR250" s="42"/>
      <c r="IS250" s="42"/>
      <c r="IT250" s="42"/>
      <c r="IU250" s="42"/>
      <c r="IV250" s="42"/>
    </row>
    <row r="251" spans="1:256" ht="15">
      <c r="A251" s="11"/>
      <c r="IR251" s="42"/>
      <c r="IS251" s="42"/>
      <c r="IT251" s="42"/>
      <c r="IU251" s="42"/>
      <c r="IV251" s="42"/>
    </row>
    <row r="252" spans="1:256" ht="15">
      <c r="A252" s="11"/>
      <c r="IR252" s="42"/>
      <c r="IS252" s="42"/>
      <c r="IT252" s="42"/>
      <c r="IU252" s="42"/>
      <c r="IV252" s="42"/>
    </row>
    <row r="253" spans="1:256" ht="15">
      <c r="A253" s="11"/>
      <c r="IR253" s="42"/>
      <c r="IS253" s="42"/>
      <c r="IT253" s="42"/>
      <c r="IU253" s="42"/>
      <c r="IV253" s="42"/>
    </row>
    <row r="254" spans="1:256" ht="15">
      <c r="A254" s="11"/>
      <c r="IR254" s="42"/>
      <c r="IS254" s="42"/>
      <c r="IT254" s="42"/>
      <c r="IU254" s="42"/>
      <c r="IV254" s="42"/>
    </row>
    <row r="255" spans="1:256" ht="15">
      <c r="A255" s="11"/>
      <c r="IR255" s="42"/>
      <c r="IS255" s="42"/>
      <c r="IT255" s="42"/>
      <c r="IU255" s="42"/>
      <c r="IV255" s="42"/>
    </row>
    <row r="256" spans="1:256" ht="15">
      <c r="A256" s="11"/>
      <c r="IR256" s="42"/>
      <c r="IS256" s="42"/>
      <c r="IT256" s="42"/>
      <c r="IU256" s="42"/>
      <c r="IV256" s="42"/>
    </row>
    <row r="257" spans="1:256" ht="15">
      <c r="A257" s="11"/>
      <c r="IR257" s="42"/>
      <c r="IS257" s="42"/>
      <c r="IT257" s="42"/>
      <c r="IU257" s="42"/>
      <c r="IV257" s="42"/>
    </row>
    <row r="258" spans="1:256" ht="15">
      <c r="A258" s="11"/>
      <c r="IR258" s="42"/>
      <c r="IS258" s="42"/>
      <c r="IT258" s="42"/>
      <c r="IU258" s="42"/>
      <c r="IV258" s="42"/>
    </row>
    <row r="259" spans="1:256" ht="15">
      <c r="A259" s="11"/>
      <c r="IR259" s="42"/>
      <c r="IS259" s="42"/>
      <c r="IT259" s="42"/>
      <c r="IU259" s="42"/>
      <c r="IV259" s="42"/>
    </row>
    <row r="260" spans="1:256" ht="15">
      <c r="A260" s="12"/>
      <c r="IR260" s="42"/>
      <c r="IS260" s="42"/>
      <c r="IT260" s="42"/>
      <c r="IU260" s="42"/>
      <c r="IV260" s="42"/>
    </row>
    <row r="261" spans="1:256" ht="15">
      <c r="IR261" s="42"/>
      <c r="IS261" s="42"/>
      <c r="IT261" s="42"/>
      <c r="IU261" s="42"/>
      <c r="IV261" s="42"/>
    </row>
    <row r="262" spans="1:256" ht="15">
      <c r="IR262" s="42"/>
      <c r="IS262" s="42"/>
      <c r="IT262" s="42"/>
      <c r="IU262" s="42"/>
      <c r="IV262" s="42"/>
    </row>
    <row r="263" spans="1:256" ht="15">
      <c r="IR263" s="42"/>
      <c r="IS263" s="42"/>
      <c r="IT263" s="42"/>
      <c r="IU263" s="42"/>
      <c r="IV263" s="42"/>
    </row>
    <row r="264" spans="1:256" ht="15">
      <c r="IR264" s="42"/>
      <c r="IS264" s="42"/>
      <c r="IT264" s="42"/>
      <c r="IU264" s="42"/>
      <c r="IV264" s="42"/>
    </row>
    <row r="265" spans="1:256" ht="15">
      <c r="IR265" s="42"/>
      <c r="IS265" s="42"/>
      <c r="IT265" s="42"/>
      <c r="IU265" s="42"/>
      <c r="IV265" s="42"/>
    </row>
    <row r="266" spans="1:256" ht="15">
      <c r="IR266" s="42"/>
      <c r="IS266" s="42"/>
      <c r="IT266" s="42"/>
      <c r="IU266" s="42"/>
      <c r="IV266" s="42"/>
    </row>
    <row r="267" spans="1:256" ht="15">
      <c r="IR267" s="42"/>
      <c r="IS267" s="42"/>
      <c r="IT267" s="42"/>
      <c r="IU267" s="42"/>
      <c r="IV267" s="42"/>
    </row>
    <row r="268" spans="1:256" ht="15">
      <c r="IR268" s="42"/>
      <c r="IS268" s="42"/>
      <c r="IT268" s="42"/>
      <c r="IU268" s="42"/>
      <c r="IV268" s="42"/>
    </row>
    <row r="269" spans="1:256" ht="15">
      <c r="IR269" s="42"/>
      <c r="IS269" s="42"/>
      <c r="IT269" s="42"/>
      <c r="IU269" s="42"/>
      <c r="IV269" s="42"/>
    </row>
    <row r="270" spans="1:256" ht="15">
      <c r="IR270" s="42"/>
      <c r="IS270" s="42"/>
      <c r="IT270" s="42"/>
      <c r="IU270" s="42"/>
      <c r="IV270" s="42"/>
    </row>
    <row r="271" spans="1:256" ht="15">
      <c r="IR271" s="42"/>
      <c r="IS271" s="42"/>
      <c r="IT271" s="42"/>
      <c r="IU271" s="42"/>
      <c r="IV271" s="42"/>
    </row>
    <row r="272" spans="1:256" ht="15">
      <c r="IR272" s="42"/>
      <c r="IS272" s="42"/>
      <c r="IT272" s="42"/>
      <c r="IU272" s="42"/>
      <c r="IV272" s="42"/>
    </row>
    <row r="273" spans="252:256" ht="15">
      <c r="IR273" s="42"/>
      <c r="IS273" s="42"/>
      <c r="IT273" s="42"/>
      <c r="IU273" s="42"/>
      <c r="IV273" s="42"/>
    </row>
    <row r="274" spans="252:256" ht="15">
      <c r="IR274" s="42"/>
      <c r="IS274" s="42"/>
      <c r="IT274" s="42"/>
      <c r="IU274" s="42"/>
      <c r="IV274" s="42"/>
    </row>
    <row r="275" spans="252:256" ht="15">
      <c r="IR275" s="42"/>
      <c r="IS275" s="42"/>
      <c r="IT275" s="42"/>
      <c r="IU275" s="42"/>
      <c r="IV275" s="42"/>
    </row>
    <row r="276" spans="252:256" ht="15">
      <c r="IR276" s="42"/>
      <c r="IS276" s="42"/>
      <c r="IT276" s="42"/>
      <c r="IU276" s="42"/>
      <c r="IV276" s="42"/>
    </row>
    <row r="277" spans="252:256" ht="15">
      <c r="IR277" s="42"/>
      <c r="IS277" s="42"/>
      <c r="IT277" s="42"/>
      <c r="IU277" s="42"/>
      <c r="IV277" s="42"/>
    </row>
    <row r="278" spans="252:256" ht="15">
      <c r="IR278" s="42"/>
      <c r="IS278" s="42"/>
      <c r="IT278" s="42"/>
      <c r="IU278" s="42"/>
      <c r="IV278" s="42"/>
    </row>
    <row r="279" spans="252:256" ht="15">
      <c r="IR279" s="42"/>
      <c r="IS279" s="42"/>
      <c r="IT279" s="42"/>
      <c r="IU279" s="42"/>
      <c r="IV279" s="42"/>
    </row>
    <row r="280" spans="252:256" ht="15">
      <c r="IR280" s="42"/>
      <c r="IS280" s="42"/>
      <c r="IT280" s="42"/>
      <c r="IU280" s="42"/>
      <c r="IV280" s="42"/>
    </row>
    <row r="281" spans="252:256" ht="15">
      <c r="IR281" s="42"/>
      <c r="IS281" s="42"/>
      <c r="IT281" s="42"/>
      <c r="IU281" s="42"/>
      <c r="IV281" s="42"/>
    </row>
    <row r="282" spans="252:256" ht="15">
      <c r="IR282" s="42"/>
      <c r="IS282" s="42"/>
      <c r="IT282" s="42"/>
      <c r="IU282" s="42"/>
      <c r="IV282" s="42"/>
    </row>
    <row r="283" spans="252:256" ht="15">
      <c r="IR283" s="42"/>
      <c r="IS283" s="42"/>
      <c r="IT283" s="42"/>
      <c r="IU283" s="42"/>
      <c r="IV283" s="42"/>
    </row>
    <row r="284" spans="252:256" ht="15">
      <c r="IR284" s="42"/>
      <c r="IS284" s="42"/>
      <c r="IT284" s="42"/>
      <c r="IU284" s="42"/>
      <c r="IV284" s="42"/>
    </row>
    <row r="285" spans="252:256" ht="0" hidden="1" customHeight="1"/>
    <row r="286" spans="252:256" ht="0" hidden="1" customHeight="1"/>
    <row r="287" spans="252:256" ht="0" hidden="1" customHeight="1"/>
    <row r="288" spans="252:256" ht="0" hidden="1" customHeight="1"/>
    <row r="289" ht="0" hidden="1" customHeight="1"/>
    <row r="290" ht="0" hidden="1" customHeight="1"/>
    <row r="291" ht="0" hidden="1" customHeight="1"/>
    <row r="292" ht="0" hidden="1" customHeight="1"/>
    <row r="293" ht="0" hidden="1" customHeight="1"/>
    <row r="294" ht="0" hidden="1" customHeight="1"/>
    <row r="295" ht="0" hidden="1" customHeight="1"/>
    <row r="296" ht="0" hidden="1" customHeight="1"/>
    <row r="297" ht="0" hidden="1" customHeight="1"/>
    <row r="298" ht="0" hidden="1" customHeight="1"/>
    <row r="299" ht="0" hidden="1" customHeight="1"/>
    <row r="300" ht="0" hidden="1" customHeight="1"/>
    <row r="301" ht="0" hidden="1" customHeight="1"/>
    <row r="302" ht="0" hidden="1" customHeight="1"/>
    <row r="303" ht="0" hidden="1" customHeight="1"/>
    <row r="304" ht="0" hidden="1" customHeight="1"/>
    <row r="305" ht="0" hidden="1" customHeight="1"/>
    <row r="306" ht="0" hidden="1" customHeight="1"/>
    <row r="307" ht="0" hidden="1" customHeight="1"/>
    <row r="308" ht="0" hidden="1" customHeight="1"/>
    <row r="309" ht="0" hidden="1" customHeight="1"/>
    <row r="310" ht="0" hidden="1" customHeight="1"/>
    <row r="311" ht="0" hidden="1" customHeight="1"/>
    <row r="312" ht="0" hidden="1" customHeight="1"/>
    <row r="313" ht="0" hidden="1" customHeight="1"/>
    <row r="314" ht="0" hidden="1" customHeight="1"/>
    <row r="315" ht="0" hidden="1" customHeight="1"/>
    <row r="316" ht="0" hidden="1" customHeight="1"/>
    <row r="317" ht="0" hidden="1" customHeight="1"/>
    <row r="318" ht="0" hidden="1" customHeight="1"/>
    <row r="319" ht="0" hidden="1" customHeight="1"/>
    <row r="320" ht="0" hidden="1" customHeight="1"/>
    <row r="321" ht="0" hidden="1" customHeight="1"/>
    <row r="322" ht="0" hidden="1" customHeight="1"/>
    <row r="323" ht="0" hidden="1" customHeight="1"/>
    <row r="324" ht="0" hidden="1" customHeight="1"/>
    <row r="325" ht="0" hidden="1" customHeight="1"/>
    <row r="326" ht="0" hidden="1" customHeight="1"/>
    <row r="327" ht="0" hidden="1" customHeight="1"/>
    <row r="328" ht="0" hidden="1" customHeight="1"/>
    <row r="329" ht="0" hidden="1" customHeight="1"/>
    <row r="330" ht="0" hidden="1" customHeight="1"/>
    <row r="331" ht="0" hidden="1" customHeight="1"/>
    <row r="332" ht="0" hidden="1" customHeight="1"/>
    <row r="333" ht="0" hidden="1" customHeight="1"/>
    <row r="334" ht="0" hidden="1" customHeight="1"/>
    <row r="335" ht="0" hidden="1" customHeight="1"/>
    <row r="336" ht="0" hidden="1" customHeight="1"/>
    <row r="337" ht="0" hidden="1" customHeight="1"/>
    <row r="338" ht="0" hidden="1" customHeight="1"/>
    <row r="339" ht="0" hidden="1" customHeight="1"/>
    <row r="340" ht="0" hidden="1" customHeight="1"/>
    <row r="341" ht="0" hidden="1" customHeight="1"/>
    <row r="342" ht="0" hidden="1" customHeight="1"/>
    <row r="343" ht="0" hidden="1" customHeight="1"/>
    <row r="344" ht="0" hidden="1" customHeight="1"/>
    <row r="345" ht="0" hidden="1" customHeight="1"/>
    <row r="346" ht="0" hidden="1" customHeight="1"/>
    <row r="347" ht="0" hidden="1" customHeight="1"/>
    <row r="348" ht="0" hidden="1" customHeight="1"/>
    <row r="349" ht="0" hidden="1" customHeight="1"/>
    <row r="350" ht="0" hidden="1" customHeight="1"/>
    <row r="351" ht="0" hidden="1" customHeight="1"/>
    <row r="352" ht="0" hidden="1" customHeight="1"/>
    <row r="353" ht="0" hidden="1" customHeight="1"/>
    <row r="354" ht="0" hidden="1" customHeight="1"/>
    <row r="355" ht="0" hidden="1" customHeight="1"/>
    <row r="356" ht="0" hidden="1" customHeight="1"/>
    <row r="357" ht="0" hidden="1" customHeight="1"/>
    <row r="358" ht="0" hidden="1" customHeight="1"/>
    <row r="359" ht="0" hidden="1" customHeight="1"/>
    <row r="360" ht="0" hidden="1" customHeight="1"/>
    <row r="361" ht="0" hidden="1" customHeight="1"/>
    <row r="362" ht="0" hidden="1" customHeight="1"/>
    <row r="363" ht="0" hidden="1" customHeight="1"/>
    <row r="364" ht="0" hidden="1" customHeight="1"/>
    <row r="365" ht="0" hidden="1" customHeight="1"/>
    <row r="366" ht="0" hidden="1" customHeight="1"/>
    <row r="367" ht="0" hidden="1" customHeight="1"/>
    <row r="368" ht="0" hidden="1" customHeight="1"/>
    <row r="369" ht="0" hidden="1" customHeight="1"/>
    <row r="370" ht="0" hidden="1" customHeight="1"/>
    <row r="371" ht="0" hidden="1" customHeight="1"/>
    <row r="372" ht="0" hidden="1" customHeight="1"/>
    <row r="373" ht="0" hidden="1" customHeight="1"/>
    <row r="374" ht="0" hidden="1" customHeight="1"/>
    <row r="375" ht="0" hidden="1" customHeight="1"/>
    <row r="376" ht="0" hidden="1" customHeight="1"/>
    <row r="377" ht="0" hidden="1" customHeight="1"/>
    <row r="378" ht="0" hidden="1" customHeight="1"/>
    <row r="379" ht="0" hidden="1" customHeight="1"/>
    <row r="380" ht="0" hidden="1" customHeight="1"/>
    <row r="381" ht="0" hidden="1" customHeight="1"/>
    <row r="382" ht="0" hidden="1" customHeight="1"/>
    <row r="383" ht="0" hidden="1" customHeight="1"/>
    <row r="384" ht="0" hidden="1" customHeight="1"/>
    <row r="385" ht="0" hidden="1" customHeight="1"/>
    <row r="386" ht="0" hidden="1" customHeight="1"/>
    <row r="387" ht="0" hidden="1" customHeight="1"/>
    <row r="388" ht="0" hidden="1" customHeight="1"/>
    <row r="389" ht="0" hidden="1" customHeight="1"/>
    <row r="390" ht="0" hidden="1" customHeight="1"/>
    <row r="391" ht="0" hidden="1" customHeight="1"/>
    <row r="392" ht="0" hidden="1" customHeight="1"/>
    <row r="393" ht="0" hidden="1" customHeight="1"/>
    <row r="394" ht="0" hidden="1" customHeight="1"/>
    <row r="395" ht="0" hidden="1" customHeight="1"/>
    <row r="396" ht="0" hidden="1" customHeight="1"/>
    <row r="397" ht="0" hidden="1" customHeight="1"/>
    <row r="398" ht="0" hidden="1" customHeight="1"/>
    <row r="399" ht="0" hidden="1" customHeight="1"/>
    <row r="400" ht="0" hidden="1" customHeight="1"/>
    <row r="401" ht="0" hidden="1" customHeight="1"/>
    <row r="402" ht="0" hidden="1" customHeight="1"/>
    <row r="403" ht="0" hidden="1" customHeight="1"/>
    <row r="404" ht="0" hidden="1" customHeight="1"/>
    <row r="405" ht="0" hidden="1" customHeight="1"/>
    <row r="406" ht="0" hidden="1" customHeight="1"/>
    <row r="407" ht="0" hidden="1" customHeight="1"/>
    <row r="408" ht="0" hidden="1" customHeight="1"/>
    <row r="409" ht="0" hidden="1" customHeight="1"/>
    <row r="410" ht="0" hidden="1" customHeight="1"/>
    <row r="411" ht="0" hidden="1" customHeight="1"/>
    <row r="412" ht="0" hidden="1" customHeight="1"/>
    <row r="413" ht="0" hidden="1" customHeight="1"/>
    <row r="414" ht="0" hidden="1" customHeight="1"/>
    <row r="415" ht="0" hidden="1" customHeight="1"/>
    <row r="416" ht="0" hidden="1" customHeight="1"/>
    <row r="417" ht="0" hidden="1" customHeight="1"/>
    <row r="418" ht="0" hidden="1" customHeight="1"/>
    <row r="419" ht="0" hidden="1" customHeight="1"/>
    <row r="420" ht="0" hidden="1" customHeight="1"/>
    <row r="421" ht="0" hidden="1" customHeight="1"/>
    <row r="422" ht="0" hidden="1" customHeight="1"/>
    <row r="423" ht="0" hidden="1" customHeight="1"/>
    <row r="424" ht="0" hidden="1" customHeight="1"/>
    <row r="425" ht="0" hidden="1" customHeight="1"/>
    <row r="426" ht="0" hidden="1" customHeight="1"/>
    <row r="427" ht="0" hidden="1" customHeight="1"/>
    <row r="428" ht="0" hidden="1" customHeight="1"/>
    <row r="429" ht="0" hidden="1" customHeight="1"/>
    <row r="430" ht="0" hidden="1" customHeight="1"/>
    <row r="431" ht="0" hidden="1" customHeight="1"/>
    <row r="432" ht="0" hidden="1" customHeight="1"/>
    <row r="433" ht="0" hidden="1" customHeight="1"/>
    <row r="434" ht="0" hidden="1" customHeight="1"/>
    <row r="435" ht="0" hidden="1" customHeight="1"/>
    <row r="436" ht="0" hidden="1" customHeight="1"/>
    <row r="437" ht="0" hidden="1" customHeight="1"/>
    <row r="438" ht="0" hidden="1" customHeight="1"/>
    <row r="439" ht="0" hidden="1" customHeight="1"/>
    <row r="440" ht="0" hidden="1" customHeight="1"/>
    <row r="441" ht="0" hidden="1" customHeight="1"/>
    <row r="442" ht="0" hidden="1" customHeight="1"/>
    <row r="443" ht="0" hidden="1" customHeight="1"/>
  </sheetData>
  <protectedRanges>
    <protectedRange sqref="A23:A36 A1:A3 A38:A284" name="Rango6"/>
    <protectedRange sqref="C6:C10" name="Rango2"/>
    <protectedRange sqref="B4" name="Rango1"/>
    <protectedRange sqref="C13" name="Rango3"/>
    <protectedRange sqref="E15:E20 B18 E23:E104" name="Rango4"/>
  </protectedRanges>
  <dataConsolidate/>
  <mergeCells count="11">
    <mergeCell ref="B97:C100"/>
    <mergeCell ref="B4:B13"/>
    <mergeCell ref="C1:D1"/>
    <mergeCell ref="B22:E22"/>
    <mergeCell ref="E15:E17"/>
    <mergeCell ref="E18:E20"/>
    <mergeCell ref="B23:C26"/>
    <mergeCell ref="B57:C60"/>
    <mergeCell ref="B73:C76"/>
    <mergeCell ref="B81:C84"/>
    <mergeCell ref="B89:C92"/>
  </mergeCells>
  <dataValidations count="5">
    <dataValidation type="list" allowBlank="1" showInputMessage="1" showErrorMessage="1" sqref="E15 E18 B18 E23:E104">
      <formula1>$XEZ$3:$XEZ$4</formula1>
    </dataValidation>
    <dataValidation type="list" allowBlank="1" showInputMessage="1" showErrorMessage="1" sqref="B4:B13">
      <formula1>$XFC$3:$XFC$9</formula1>
    </dataValidation>
    <dataValidation showDropDown="1" showInputMessage="1" showErrorMessage="1" sqref="C13"/>
    <dataValidation type="list" allowBlank="1" showInputMessage="1" showErrorMessage="1" sqref="C6:C10">
      <formula1>$XFB$3:$XFB$5</formula1>
    </dataValidation>
    <dataValidation type="list" allowBlank="1" showInputMessage="1" showErrorMessage="1" sqref="C11:C12">
      <formula1>$XEX$3:$XEX$5</formula1>
    </dataValidation>
  </dataValidations>
  <pageMargins left="0.7" right="0.7" top="0.75" bottom="0.75" header="0.3" footer="0.3"/>
  <pageSetup paperSize="9" orientation="portrait" r:id="rId1"/>
  <ignoredErrors>
    <ignoredError sqref="H24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6"/>
  <dimension ref="A1:XFD4999"/>
  <sheetViews>
    <sheetView workbookViewId="0"/>
  </sheetViews>
  <sheetFormatPr baseColWidth="10" defaultColWidth="7.5703125" defaultRowHeight="0" customHeight="1" zeroHeight="1"/>
  <cols>
    <col min="1" max="1" width="94.7109375" style="10" customWidth="1"/>
    <col min="2" max="2" width="3.7109375" style="2" customWidth="1"/>
    <col min="3" max="3" width="8.85546875" style="2" bestFit="1" customWidth="1"/>
    <col min="4" max="4" width="5.28515625" style="1" bestFit="1" customWidth="1"/>
    <col min="5" max="5" width="8.5703125" style="1" bestFit="1" customWidth="1"/>
    <col min="6" max="6" width="28.42578125" style="1" bestFit="1" customWidth="1"/>
    <col min="7" max="12" width="11.42578125" style="1" customWidth="1"/>
    <col min="13" max="16379" width="7.5703125" style="33"/>
    <col min="16380" max="16384" width="7.5703125" style="42"/>
  </cols>
  <sheetData>
    <row r="1" spans="1:7 16377:16384" ht="15.75" thickBot="1">
      <c r="A1" s="16" t="s">
        <v>0</v>
      </c>
      <c r="B1" s="14"/>
      <c r="C1" s="17" t="s">
        <v>66</v>
      </c>
      <c r="D1" s="16"/>
      <c r="E1" s="30"/>
      <c r="F1" s="31" t="s">
        <v>91</v>
      </c>
      <c r="G1" s="47">
        <f>'3 - BCSU Upgrade FlexiBSC'!B4:B4</f>
        <v>1</v>
      </c>
      <c r="XFB1" s="43" t="str">
        <f>MID(F18,XEW2+3,XEY2-3)</f>
        <v>512</v>
      </c>
      <c r="XFC1" s="43" t="str">
        <f>MID(F19,XEW3+3,XEY3-3)</f>
        <v>528</v>
      </c>
      <c r="XFD1" s="43" t="str">
        <f>MID(F20,XEW4+3,XEY4-3)</f>
        <v>544</v>
      </c>
    </row>
    <row r="2" spans="1:7 16377:16384" ht="15.75" thickBot="1">
      <c r="A2" s="19" t="s">
        <v>90</v>
      </c>
      <c r="B2" s="14"/>
      <c r="C2" s="20">
        <f>XFB2</f>
        <v>512</v>
      </c>
      <c r="D2" s="19"/>
      <c r="E2" s="21"/>
      <c r="F2" s="21"/>
      <c r="G2" s="22"/>
      <c r="XEW2" s="1">
        <f>FIND("ET-",F18)</f>
        <v>23</v>
      </c>
      <c r="XEX2" s="1">
        <f>FIND("&amp;&amp;-",F18)</f>
        <v>29</v>
      </c>
      <c r="XEY2" s="1">
        <f>XEX2-XEW2</f>
        <v>6</v>
      </c>
      <c r="XEZ2" s="1"/>
      <c r="XFA2" s="42">
        <v>0</v>
      </c>
      <c r="XFB2" s="42">
        <f>$XFB$1+XFA2</f>
        <v>512</v>
      </c>
      <c r="XFC2" s="42">
        <f>$XFC$1+XFA2</f>
        <v>528</v>
      </c>
      <c r="XFD2" s="42">
        <f>$XFD$1+XFA2</f>
        <v>544</v>
      </c>
    </row>
    <row r="3" spans="1:7 16377:16384" ht="15.75" thickBot="1">
      <c r="A3" s="16" t="s">
        <v>0</v>
      </c>
      <c r="B3" s="14"/>
      <c r="C3" s="23">
        <f t="shared" ref="C3:C17" si="0">XFB3</f>
        <v>513</v>
      </c>
      <c r="D3" s="19"/>
      <c r="E3" s="18"/>
      <c r="F3" s="24" t="s">
        <v>74</v>
      </c>
      <c r="XEW3" s="1">
        <f>FIND("ET-",F19)</f>
        <v>23</v>
      </c>
      <c r="XEX3" s="1">
        <f>FIND("&amp;&amp;-",F19)</f>
        <v>29</v>
      </c>
      <c r="XEY3" s="1">
        <f>XEX3-XEW3</f>
        <v>6</v>
      </c>
      <c r="XEZ3" s="1"/>
      <c r="XFA3" s="42">
        <v>1</v>
      </c>
      <c r="XFB3" s="42">
        <f t="shared" ref="XFB3:XFB17" si="1">$XFB$1+XFA3</f>
        <v>513</v>
      </c>
      <c r="XFC3" s="42">
        <f t="shared" ref="XFC3:XFC17" si="2">$XFC$1+XFA3</f>
        <v>529</v>
      </c>
      <c r="XFD3" s="42">
        <f t="shared" ref="XFD3:XFD17" si="3">$XFD$1+XFA3</f>
        <v>545</v>
      </c>
    </row>
    <row r="4" spans="1:7 16377:16384" ht="15">
      <c r="A4" s="19"/>
      <c r="B4" s="14"/>
      <c r="C4" s="23">
        <f t="shared" si="0"/>
        <v>514</v>
      </c>
      <c r="D4" s="19"/>
      <c r="E4" s="18"/>
      <c r="F4" s="25" t="s">
        <v>70</v>
      </c>
      <c r="XEW4" s="1">
        <f>FIND("ET-",F20)</f>
        <v>23</v>
      </c>
      <c r="XEX4" s="1">
        <f>FIND("&amp;&amp;-",F20)</f>
        <v>29</v>
      </c>
      <c r="XEY4" s="1">
        <f>XEX4-XEW4</f>
        <v>6</v>
      </c>
      <c r="XEZ4" s="1"/>
      <c r="XFA4" s="42">
        <v>2</v>
      </c>
      <c r="XFB4" s="42">
        <f t="shared" si="1"/>
        <v>514</v>
      </c>
      <c r="XFC4" s="42">
        <f t="shared" si="2"/>
        <v>530</v>
      </c>
      <c r="XFD4" s="42">
        <f t="shared" si="3"/>
        <v>546</v>
      </c>
    </row>
    <row r="5" spans="1:7 16377:16384" ht="15">
      <c r="A5" s="19" t="s">
        <v>76</v>
      </c>
      <c r="B5" s="14"/>
      <c r="C5" s="23">
        <f t="shared" si="0"/>
        <v>515</v>
      </c>
      <c r="D5" s="19"/>
      <c r="E5" s="18"/>
      <c r="F5" s="26" t="s">
        <v>67</v>
      </c>
      <c r="XFA5" s="42">
        <v>3</v>
      </c>
      <c r="XFB5" s="42">
        <f t="shared" si="1"/>
        <v>515</v>
      </c>
      <c r="XFC5" s="42">
        <f t="shared" si="2"/>
        <v>531</v>
      </c>
      <c r="XFD5" s="42">
        <f t="shared" si="3"/>
        <v>547</v>
      </c>
    </row>
    <row r="6" spans="1:7 16377:16384" ht="15">
      <c r="A6" s="19" t="s">
        <v>77</v>
      </c>
      <c r="B6" s="14"/>
      <c r="C6" s="23">
        <f t="shared" si="0"/>
        <v>516</v>
      </c>
      <c r="D6" s="19"/>
      <c r="E6" s="18"/>
      <c r="F6" s="26" t="s">
        <v>68</v>
      </c>
      <c r="XFA6" s="42">
        <v>4</v>
      </c>
      <c r="XFB6" s="42">
        <f t="shared" si="1"/>
        <v>516</v>
      </c>
      <c r="XFC6" s="42">
        <f t="shared" si="2"/>
        <v>532</v>
      </c>
      <c r="XFD6" s="42">
        <f t="shared" si="3"/>
        <v>548</v>
      </c>
    </row>
    <row r="7" spans="1:7 16377:16384" ht="15">
      <c r="A7" s="19" t="s">
        <v>26</v>
      </c>
      <c r="B7" s="14"/>
      <c r="C7" s="23">
        <f t="shared" si="0"/>
        <v>517</v>
      </c>
      <c r="D7" s="19"/>
      <c r="E7" s="18"/>
      <c r="F7" s="26" t="s">
        <v>69</v>
      </c>
      <c r="XFA7" s="42">
        <v>5</v>
      </c>
      <c r="XFB7" s="42">
        <f t="shared" si="1"/>
        <v>517</v>
      </c>
      <c r="XFC7" s="42">
        <f t="shared" si="2"/>
        <v>533</v>
      </c>
      <c r="XFD7" s="42">
        <f t="shared" si="3"/>
        <v>549</v>
      </c>
    </row>
    <row r="8" spans="1:7 16377:16384" ht="15">
      <c r="A8" s="19"/>
      <c r="B8" s="14"/>
      <c r="C8" s="23">
        <f t="shared" si="0"/>
        <v>518</v>
      </c>
      <c r="D8" s="19"/>
      <c r="E8" s="18"/>
      <c r="F8" s="26" t="s">
        <v>71</v>
      </c>
      <c r="XFA8" s="42">
        <v>6</v>
      </c>
      <c r="XFB8" s="42">
        <f t="shared" si="1"/>
        <v>518</v>
      </c>
      <c r="XFC8" s="42">
        <f t="shared" si="2"/>
        <v>534</v>
      </c>
      <c r="XFD8" s="42">
        <f t="shared" si="3"/>
        <v>550</v>
      </c>
    </row>
    <row r="9" spans="1:7 16377:16384" ht="15">
      <c r="A9" s="19" t="s">
        <v>78</v>
      </c>
      <c r="B9" s="14"/>
      <c r="C9" s="23">
        <f t="shared" si="0"/>
        <v>519</v>
      </c>
      <c r="D9" s="19"/>
      <c r="E9" s="18"/>
      <c r="F9" s="26" t="s">
        <v>72</v>
      </c>
      <c r="XFA9" s="42">
        <v>7</v>
      </c>
      <c r="XFB9" s="42">
        <f t="shared" si="1"/>
        <v>519</v>
      </c>
      <c r="XFC9" s="42">
        <f t="shared" si="2"/>
        <v>535</v>
      </c>
      <c r="XFD9" s="42">
        <f t="shared" si="3"/>
        <v>551</v>
      </c>
    </row>
    <row r="10" spans="1:7 16377:16384" ht="15">
      <c r="A10" s="19" t="str">
        <f>CONCATENATE("ZUSC:BCSU,",G1,":SE;")</f>
        <v>ZUSC:BCSU,1:SE;</v>
      </c>
      <c r="B10" s="14"/>
      <c r="C10" s="23">
        <f t="shared" si="0"/>
        <v>520</v>
      </c>
      <c r="D10" s="19"/>
      <c r="E10" s="18"/>
      <c r="F10" s="26" t="s">
        <v>73</v>
      </c>
      <c r="XFA10" s="42">
        <v>8</v>
      </c>
      <c r="XFB10" s="42">
        <f t="shared" si="1"/>
        <v>520</v>
      </c>
      <c r="XFC10" s="42">
        <f t="shared" si="2"/>
        <v>536</v>
      </c>
      <c r="XFD10" s="42">
        <f t="shared" si="3"/>
        <v>552</v>
      </c>
    </row>
    <row r="11" spans="1:7 16377:16384" ht="15">
      <c r="A11" s="19" t="str">
        <f>CONCATENATE("ZUSC:BCSU,",G1,":TE:C=DSK;")</f>
        <v>ZUSC:BCSU,1:TE:C=DSK;</v>
      </c>
      <c r="B11" s="14"/>
      <c r="C11" s="23">
        <f t="shared" si="0"/>
        <v>521</v>
      </c>
      <c r="D11" s="19"/>
      <c r="E11" s="18"/>
      <c r="F11" s="26" t="s">
        <v>68</v>
      </c>
      <c r="XFA11" s="42">
        <v>9</v>
      </c>
      <c r="XFB11" s="42">
        <f t="shared" si="1"/>
        <v>521</v>
      </c>
      <c r="XFC11" s="42">
        <f t="shared" si="2"/>
        <v>537</v>
      </c>
      <c r="XFD11" s="42">
        <f t="shared" si="3"/>
        <v>553</v>
      </c>
    </row>
    <row r="12" spans="1:7 16377:16384" ht="15.75" thickBot="1">
      <c r="A12" s="19"/>
      <c r="B12" s="14"/>
      <c r="C12" s="23">
        <f t="shared" si="0"/>
        <v>522</v>
      </c>
      <c r="D12" s="19"/>
      <c r="E12" s="18"/>
      <c r="F12" s="27" t="s">
        <v>67</v>
      </c>
      <c r="XFA12" s="42">
        <v>10</v>
      </c>
      <c r="XFB12" s="42">
        <f t="shared" si="1"/>
        <v>522</v>
      </c>
      <c r="XFC12" s="42">
        <f t="shared" si="2"/>
        <v>538</v>
      </c>
      <c r="XFD12" s="42">
        <f t="shared" si="3"/>
        <v>554</v>
      </c>
    </row>
    <row r="13" spans="1:7 16377:16384" ht="15">
      <c r="A13" s="19" t="s">
        <v>79</v>
      </c>
      <c r="B13" s="14"/>
      <c r="C13" s="23">
        <f t="shared" si="0"/>
        <v>523</v>
      </c>
      <c r="D13" s="19"/>
      <c r="E13" s="18"/>
      <c r="F13" s="18"/>
      <c r="G13" s="28"/>
      <c r="XFA13" s="42">
        <v>11</v>
      </c>
      <c r="XFB13" s="42">
        <f t="shared" si="1"/>
        <v>523</v>
      </c>
      <c r="XFC13" s="42">
        <f t="shared" si="2"/>
        <v>539</v>
      </c>
      <c r="XFD13" s="42">
        <f t="shared" si="3"/>
        <v>555</v>
      </c>
    </row>
    <row r="14" spans="1:7 16377:16384" ht="15">
      <c r="A14" s="19" t="str">
        <f>CONCATENATE("ZUDU:BCSU,",G1,";")</f>
        <v>ZUDU:BCSU,1;</v>
      </c>
      <c r="B14" s="14"/>
      <c r="C14" s="23">
        <f t="shared" si="0"/>
        <v>524</v>
      </c>
      <c r="D14" s="19"/>
      <c r="E14" s="18"/>
      <c r="F14" s="18"/>
      <c r="G14" s="29"/>
      <c r="XFA14" s="42">
        <v>12</v>
      </c>
      <c r="XFB14" s="42">
        <f t="shared" si="1"/>
        <v>524</v>
      </c>
      <c r="XFC14" s="42">
        <f t="shared" si="2"/>
        <v>540</v>
      </c>
      <c r="XFD14" s="42">
        <f t="shared" si="3"/>
        <v>556</v>
      </c>
    </row>
    <row r="15" spans="1:7 16377:16384" ht="15">
      <c r="A15" s="19"/>
      <c r="B15" s="14"/>
      <c r="C15" s="23">
        <f t="shared" si="0"/>
        <v>525</v>
      </c>
      <c r="D15" s="19"/>
      <c r="E15" s="18"/>
      <c r="F15" s="18"/>
      <c r="G15" s="29"/>
      <c r="XFA15" s="42">
        <v>13</v>
      </c>
      <c r="XFB15" s="42">
        <f t="shared" si="1"/>
        <v>525</v>
      </c>
      <c r="XFC15" s="42">
        <f t="shared" si="2"/>
        <v>541</v>
      </c>
      <c r="XFD15" s="42">
        <f t="shared" si="3"/>
        <v>557</v>
      </c>
    </row>
    <row r="16" spans="1:7 16377:16384" ht="15.75" thickBot="1">
      <c r="A16" s="19" t="s">
        <v>80</v>
      </c>
      <c r="B16" s="14"/>
      <c r="C16" s="23">
        <f t="shared" si="0"/>
        <v>526</v>
      </c>
      <c r="D16" s="19"/>
      <c r="E16" s="18"/>
      <c r="F16" s="29"/>
      <c r="G16" s="18"/>
      <c r="XFA16" s="42">
        <v>14</v>
      </c>
      <c r="XFB16" s="42">
        <f t="shared" si="1"/>
        <v>526</v>
      </c>
      <c r="XFC16" s="42">
        <f t="shared" si="2"/>
        <v>542</v>
      </c>
      <c r="XFD16" s="42">
        <f t="shared" si="3"/>
        <v>558</v>
      </c>
    </row>
    <row r="17" spans="1:7 16381:16384" ht="15.75" thickBot="1">
      <c r="A17" s="19" t="s">
        <v>81</v>
      </c>
      <c r="B17" s="14"/>
      <c r="C17" s="23">
        <f t="shared" si="0"/>
        <v>527</v>
      </c>
      <c r="D17" s="19"/>
      <c r="E17" s="30"/>
      <c r="F17" s="4" t="s">
        <v>50</v>
      </c>
      <c r="G17" s="18"/>
      <c r="XFA17" s="42">
        <v>15</v>
      </c>
      <c r="XFB17" s="42">
        <f t="shared" si="1"/>
        <v>527</v>
      </c>
      <c r="XFC17" s="42">
        <f t="shared" si="2"/>
        <v>543</v>
      </c>
      <c r="XFD17" s="42">
        <f t="shared" si="3"/>
        <v>559</v>
      </c>
    </row>
    <row r="18" spans="1:7 16381:16384" ht="15">
      <c r="A18" s="19" t="s">
        <v>82</v>
      </c>
      <c r="B18" s="14"/>
      <c r="C18" s="23">
        <f>XFC2</f>
        <v>528</v>
      </c>
      <c r="D18" s="19"/>
      <c r="E18" s="30"/>
      <c r="F18" s="40" t="str">
        <f>'3 - BCSU Upgrade FlexiBSC'!D33</f>
        <v>ETC-1 Slot-3 Track-30 ET-512&amp;&amp;-527</v>
      </c>
      <c r="G18" s="18"/>
    </row>
    <row r="19" spans="1:7 16381:16384" ht="15">
      <c r="A19" s="19" t="str">
        <f>CONCATENATE("!ZUDH:BCSU,",G1,";")</f>
        <v>!ZUDH:BCSU,1;</v>
      </c>
      <c r="B19" s="14"/>
      <c r="C19" s="23">
        <f t="shared" ref="C19:C33" si="4">XFC3</f>
        <v>529</v>
      </c>
      <c r="D19" s="19"/>
      <c r="E19" s="30"/>
      <c r="F19" s="40" t="str">
        <f>'3 - BCSU Upgrade FlexiBSC'!D34</f>
        <v>ETC-1 Slot-4 Track-31 ET-528&amp;&amp;-543</v>
      </c>
      <c r="G19" s="18"/>
    </row>
    <row r="20" spans="1:7 16381:16384" ht="15.75" thickBot="1">
      <c r="A20" s="19"/>
      <c r="B20" s="14"/>
      <c r="C20" s="23">
        <f t="shared" si="4"/>
        <v>530</v>
      </c>
      <c r="D20" s="19"/>
      <c r="E20" s="30"/>
      <c r="F20" s="41" t="str">
        <f>'3 - BCSU Upgrade FlexiBSC'!D35</f>
        <v>ETC-1 Slot-5 Track-32 ET-544&amp;&amp;-559</v>
      </c>
      <c r="G20" s="18"/>
    </row>
    <row r="21" spans="1:7 16381:16384" ht="15">
      <c r="A21" s="19" t="s">
        <v>83</v>
      </c>
      <c r="B21" s="14"/>
      <c r="C21" s="23">
        <f t="shared" si="4"/>
        <v>531</v>
      </c>
      <c r="D21" s="19"/>
      <c r="E21" s="30"/>
      <c r="G21" s="18"/>
    </row>
    <row r="22" spans="1:7 16381:16384" ht="15">
      <c r="A22" s="19" t="s">
        <v>84</v>
      </c>
      <c r="B22" s="14"/>
      <c r="C22" s="23">
        <f t="shared" si="4"/>
        <v>532</v>
      </c>
      <c r="D22" s="19"/>
      <c r="E22" s="30"/>
      <c r="G22" s="18"/>
    </row>
    <row r="23" spans="1:7 16381:16384" ht="15">
      <c r="A23" s="15" t="str">
        <f>CONCATENATE("ZUSC:BCSU,",G1,":WO;")</f>
        <v>ZUSC:BCSU,1:WO;</v>
      </c>
      <c r="B23" s="14"/>
      <c r="C23" s="23">
        <f t="shared" si="4"/>
        <v>533</v>
      </c>
      <c r="D23" s="15"/>
      <c r="E23" s="15"/>
      <c r="F23" s="15"/>
      <c r="G23" s="15"/>
    </row>
    <row r="24" spans="1:7 16381:16384" ht="15">
      <c r="A24" s="8"/>
      <c r="C24" s="23">
        <f t="shared" si="4"/>
        <v>534</v>
      </c>
      <c r="D24" s="13"/>
    </row>
    <row r="25" spans="1:7 16381:16384" ht="15">
      <c r="A25" s="8" t="s">
        <v>85</v>
      </c>
      <c r="C25" s="23">
        <f t="shared" si="4"/>
        <v>535</v>
      </c>
    </row>
    <row r="26" spans="1:7 16381:16384" ht="15">
      <c r="A26" s="8" t="s">
        <v>86</v>
      </c>
      <c r="C26" s="23">
        <f t="shared" si="4"/>
        <v>536</v>
      </c>
    </row>
    <row r="27" spans="1:7 16381:16384" ht="15">
      <c r="A27" s="8" t="s">
        <v>87</v>
      </c>
      <c r="C27" s="23">
        <f t="shared" si="4"/>
        <v>537</v>
      </c>
    </row>
    <row r="28" spans="1:7 16381:16384" ht="15">
      <c r="A28" s="8" t="s">
        <v>88</v>
      </c>
      <c r="C28" s="23">
        <f t="shared" si="4"/>
        <v>538</v>
      </c>
    </row>
    <row r="29" spans="1:7 16381:16384" ht="15">
      <c r="A29" s="11" t="s">
        <v>89</v>
      </c>
      <c r="C29" s="23">
        <f t="shared" si="4"/>
        <v>539</v>
      </c>
    </row>
    <row r="30" spans="1:7 16381:16384" ht="15">
      <c r="A30" s="11" t="s">
        <v>86</v>
      </c>
      <c r="C30" s="23">
        <f t="shared" si="4"/>
        <v>540</v>
      </c>
    </row>
    <row r="31" spans="1:7 16381:16384" ht="15">
      <c r="A31" s="11" t="s">
        <v>87</v>
      </c>
      <c r="C31" s="23">
        <f t="shared" si="4"/>
        <v>541</v>
      </c>
    </row>
    <row r="32" spans="1:7 16381:16384" ht="15">
      <c r="A32" s="11" t="s">
        <v>88</v>
      </c>
      <c r="C32" s="23">
        <f t="shared" si="4"/>
        <v>542</v>
      </c>
    </row>
    <row r="33" spans="1:3" ht="15">
      <c r="A33" s="11" t="s">
        <v>89</v>
      </c>
      <c r="C33" s="23">
        <f t="shared" si="4"/>
        <v>543</v>
      </c>
    </row>
    <row r="34" spans="1:3" ht="15">
      <c r="A34" s="11" t="s">
        <v>143</v>
      </c>
      <c r="C34" s="23">
        <f>XFD2</f>
        <v>544</v>
      </c>
    </row>
    <row r="35" spans="1:3" ht="15">
      <c r="A35" s="11" t="s">
        <v>144</v>
      </c>
      <c r="C35" s="23">
        <f t="shared" ref="C35:C49" si="5">XFD3</f>
        <v>545</v>
      </c>
    </row>
    <row r="36" spans="1:3" ht="15">
      <c r="A36" s="11" t="s">
        <v>145</v>
      </c>
      <c r="C36" s="23">
        <f t="shared" si="5"/>
        <v>546</v>
      </c>
    </row>
    <row r="37" spans="1:3" ht="15">
      <c r="A37" s="11" t="s">
        <v>146</v>
      </c>
      <c r="C37" s="23">
        <f t="shared" si="5"/>
        <v>547</v>
      </c>
    </row>
    <row r="38" spans="1:3" ht="15">
      <c r="A38" s="11" t="s">
        <v>147</v>
      </c>
      <c r="C38" s="23">
        <f t="shared" si="5"/>
        <v>548</v>
      </c>
    </row>
    <row r="39" spans="1:3" ht="15">
      <c r="A39" s="11" t="s">
        <v>72</v>
      </c>
      <c r="C39" s="23">
        <f t="shared" si="5"/>
        <v>549</v>
      </c>
    </row>
    <row r="40" spans="1:3" ht="15">
      <c r="A40" s="11" t="s">
        <v>148</v>
      </c>
      <c r="C40" s="23">
        <f t="shared" si="5"/>
        <v>550</v>
      </c>
    </row>
    <row r="41" spans="1:3" ht="15">
      <c r="A41" s="11" t="s">
        <v>145</v>
      </c>
      <c r="C41" s="23">
        <f t="shared" si="5"/>
        <v>551</v>
      </c>
    </row>
    <row r="42" spans="1:3" ht="15">
      <c r="A42" s="11" t="s">
        <v>145</v>
      </c>
      <c r="C42" s="23">
        <f t="shared" si="5"/>
        <v>552</v>
      </c>
    </row>
    <row r="43" spans="1:3" ht="15">
      <c r="A43" s="11" t="s">
        <v>144</v>
      </c>
      <c r="C43" s="23">
        <f t="shared" si="5"/>
        <v>553</v>
      </c>
    </row>
    <row r="44" spans="1:3" ht="15">
      <c r="A44" s="11"/>
      <c r="C44" s="23">
        <f t="shared" si="5"/>
        <v>554</v>
      </c>
    </row>
    <row r="45" spans="1:3" ht="15">
      <c r="A45" s="11" t="s">
        <v>149</v>
      </c>
      <c r="C45" s="23">
        <f t="shared" si="5"/>
        <v>555</v>
      </c>
    </row>
    <row r="46" spans="1:3" ht="15">
      <c r="A46" s="11" t="s">
        <v>150</v>
      </c>
      <c r="C46" s="23">
        <f t="shared" si="5"/>
        <v>556</v>
      </c>
    </row>
    <row r="47" spans="1:3" ht="15">
      <c r="A47" s="11" t="s">
        <v>151</v>
      </c>
      <c r="C47" s="23">
        <f t="shared" si="5"/>
        <v>557</v>
      </c>
    </row>
    <row r="48" spans="1:3" ht="15">
      <c r="A48" s="11" t="s">
        <v>152</v>
      </c>
      <c r="C48" s="23">
        <f t="shared" si="5"/>
        <v>558</v>
      </c>
    </row>
    <row r="49" spans="1:3" ht="15.75" thickBot="1">
      <c r="A49" s="11" t="s">
        <v>153</v>
      </c>
      <c r="C49" s="39">
        <f t="shared" si="5"/>
        <v>559</v>
      </c>
    </row>
    <row r="50" spans="1:3" ht="15">
      <c r="A50" s="11" t="s">
        <v>72</v>
      </c>
      <c r="C50" s="1"/>
    </row>
    <row r="51" spans="1:3" ht="15">
      <c r="A51" s="11" t="s">
        <v>154</v>
      </c>
      <c r="C51" s="1"/>
    </row>
    <row r="52" spans="1:3" ht="15">
      <c r="A52" s="11" t="s">
        <v>151</v>
      </c>
      <c r="C52" s="1"/>
    </row>
    <row r="53" spans="1:3" ht="15">
      <c r="A53" s="11" t="s">
        <v>151</v>
      </c>
      <c r="C53" s="1"/>
    </row>
    <row r="54" spans="1:3" ht="15">
      <c r="A54" s="11" t="s">
        <v>150</v>
      </c>
      <c r="C54" s="1"/>
    </row>
    <row r="55" spans="1:3" ht="15">
      <c r="A55" s="11"/>
      <c r="C55" s="1"/>
    </row>
    <row r="56" spans="1:3" ht="15">
      <c r="A56" s="11" t="s">
        <v>155</v>
      </c>
      <c r="C56" s="1"/>
    </row>
    <row r="57" spans="1:3" ht="15">
      <c r="A57" s="11" t="s">
        <v>156</v>
      </c>
      <c r="C57" s="1"/>
    </row>
    <row r="58" spans="1:3" ht="15">
      <c r="A58" s="11" t="s">
        <v>157</v>
      </c>
      <c r="C58" s="1"/>
    </row>
    <row r="59" spans="1:3" ht="15">
      <c r="A59" s="11" t="s">
        <v>158</v>
      </c>
      <c r="C59" s="1"/>
    </row>
    <row r="60" spans="1:3" ht="15">
      <c r="A60" s="11" t="s">
        <v>159</v>
      </c>
      <c r="C60" s="1"/>
    </row>
    <row r="61" spans="1:3" ht="15">
      <c r="A61" s="11" t="s">
        <v>72</v>
      </c>
      <c r="C61" s="1"/>
    </row>
    <row r="62" spans="1:3" ht="15">
      <c r="A62" s="11" t="s">
        <v>160</v>
      </c>
      <c r="C62" s="1"/>
    </row>
    <row r="63" spans="1:3" ht="15">
      <c r="A63" s="11" t="s">
        <v>157</v>
      </c>
      <c r="C63" s="1"/>
    </row>
    <row r="64" spans="1:3" ht="15">
      <c r="A64" s="11" t="s">
        <v>157</v>
      </c>
      <c r="C64" s="1"/>
    </row>
    <row r="65" spans="1:3" ht="15">
      <c r="A65" s="11" t="s">
        <v>156</v>
      </c>
      <c r="C65" s="1"/>
    </row>
    <row r="66" spans="1:3" ht="15">
      <c r="A66" s="11"/>
      <c r="C66" s="1"/>
    </row>
    <row r="67" spans="1:3" ht="15">
      <c r="A67" s="11" t="s">
        <v>161</v>
      </c>
      <c r="C67" s="1"/>
    </row>
    <row r="68" spans="1:3" ht="15">
      <c r="A68" s="11" t="s">
        <v>162</v>
      </c>
      <c r="C68" s="1"/>
    </row>
    <row r="69" spans="1:3" ht="15">
      <c r="A69" s="11" t="s">
        <v>163</v>
      </c>
      <c r="C69" s="1"/>
    </row>
    <row r="70" spans="1:3" ht="15">
      <c r="A70" s="11" t="s">
        <v>164</v>
      </c>
      <c r="C70" s="1"/>
    </row>
    <row r="71" spans="1:3" ht="15">
      <c r="A71" s="11" t="s">
        <v>165</v>
      </c>
      <c r="C71" s="1"/>
    </row>
    <row r="72" spans="1:3" ht="15">
      <c r="A72" s="11" t="s">
        <v>72</v>
      </c>
      <c r="C72" s="1"/>
    </row>
    <row r="73" spans="1:3" ht="15">
      <c r="A73" s="11" t="s">
        <v>166</v>
      </c>
      <c r="C73" s="1"/>
    </row>
    <row r="74" spans="1:3" ht="15">
      <c r="A74" s="11" t="s">
        <v>163</v>
      </c>
      <c r="C74" s="1"/>
    </row>
    <row r="75" spans="1:3" ht="15">
      <c r="A75" s="11" t="s">
        <v>163</v>
      </c>
      <c r="C75" s="1"/>
    </row>
    <row r="76" spans="1:3" ht="15">
      <c r="A76" s="11" t="s">
        <v>162</v>
      </c>
      <c r="C76" s="1"/>
    </row>
    <row r="77" spans="1:3" ht="15">
      <c r="A77" s="11"/>
      <c r="C77" s="1"/>
    </row>
    <row r="78" spans="1:3" ht="15">
      <c r="A78" s="11" t="s">
        <v>167</v>
      </c>
      <c r="C78" s="1"/>
    </row>
    <row r="79" spans="1:3" ht="15">
      <c r="A79" s="11" t="s">
        <v>168</v>
      </c>
      <c r="C79" s="1"/>
    </row>
    <row r="80" spans="1:3" ht="15">
      <c r="A80" s="11" t="s">
        <v>169</v>
      </c>
      <c r="C80" s="1"/>
    </row>
    <row r="81" spans="1:3" ht="15">
      <c r="A81" s="11" t="s">
        <v>170</v>
      </c>
      <c r="C81" s="1"/>
    </row>
    <row r="82" spans="1:3" ht="15">
      <c r="A82" s="11" t="s">
        <v>171</v>
      </c>
      <c r="C82" s="1"/>
    </row>
    <row r="83" spans="1:3" ht="15">
      <c r="A83" s="11" t="s">
        <v>72</v>
      </c>
      <c r="C83" s="1"/>
    </row>
    <row r="84" spans="1:3" ht="15">
      <c r="A84" s="11" t="s">
        <v>172</v>
      </c>
      <c r="C84" s="1"/>
    </row>
    <row r="85" spans="1:3" ht="15">
      <c r="A85" s="11" t="s">
        <v>169</v>
      </c>
      <c r="C85" s="1"/>
    </row>
    <row r="86" spans="1:3" ht="15">
      <c r="A86" s="11" t="s">
        <v>169</v>
      </c>
      <c r="C86" s="1"/>
    </row>
    <row r="87" spans="1:3" ht="15">
      <c r="A87" s="11" t="s">
        <v>168</v>
      </c>
      <c r="C87" s="1"/>
    </row>
    <row r="88" spans="1:3" ht="15">
      <c r="A88" s="11"/>
      <c r="C88" s="1"/>
    </row>
    <row r="89" spans="1:3" ht="15">
      <c r="A89" s="11" t="s">
        <v>173</v>
      </c>
      <c r="C89" s="1"/>
    </row>
    <row r="90" spans="1:3" ht="15">
      <c r="A90" s="11" t="s">
        <v>174</v>
      </c>
      <c r="C90" s="1"/>
    </row>
    <row r="91" spans="1:3" ht="15">
      <c r="A91" s="11" t="s">
        <v>175</v>
      </c>
      <c r="C91" s="1"/>
    </row>
    <row r="92" spans="1:3" ht="15">
      <c r="A92" s="11" t="s">
        <v>176</v>
      </c>
      <c r="C92" s="1"/>
    </row>
    <row r="93" spans="1:3" ht="15">
      <c r="A93" s="11" t="s">
        <v>177</v>
      </c>
      <c r="C93" s="1"/>
    </row>
    <row r="94" spans="1:3" ht="15">
      <c r="A94" s="11" t="s">
        <v>72</v>
      </c>
      <c r="C94" s="1"/>
    </row>
    <row r="95" spans="1:3" ht="15">
      <c r="A95" s="11" t="s">
        <v>178</v>
      </c>
      <c r="C95" s="1"/>
    </row>
    <row r="96" spans="1:3" ht="15">
      <c r="A96" s="11" t="s">
        <v>175</v>
      </c>
      <c r="C96" s="1"/>
    </row>
    <row r="97" spans="1:3" ht="15">
      <c r="A97" s="11" t="s">
        <v>175</v>
      </c>
      <c r="C97" s="1"/>
    </row>
    <row r="98" spans="1:3" ht="15">
      <c r="A98" s="11" t="s">
        <v>174</v>
      </c>
      <c r="C98" s="1"/>
    </row>
    <row r="99" spans="1:3" ht="15">
      <c r="A99" s="11"/>
      <c r="C99" s="1"/>
    </row>
    <row r="100" spans="1:3" ht="15">
      <c r="A100" s="11" t="s">
        <v>179</v>
      </c>
      <c r="C100" s="1"/>
    </row>
    <row r="101" spans="1:3" ht="15">
      <c r="A101" s="11" t="s">
        <v>180</v>
      </c>
      <c r="C101" s="1"/>
    </row>
    <row r="102" spans="1:3" ht="15">
      <c r="A102" s="11" t="s">
        <v>181</v>
      </c>
      <c r="C102" s="1"/>
    </row>
    <row r="103" spans="1:3" ht="15">
      <c r="A103" s="11" t="s">
        <v>182</v>
      </c>
      <c r="C103" s="1"/>
    </row>
    <row r="104" spans="1:3" ht="15">
      <c r="A104" s="11" t="s">
        <v>183</v>
      </c>
      <c r="C104" s="1"/>
    </row>
    <row r="105" spans="1:3" ht="15">
      <c r="A105" s="11" t="s">
        <v>72</v>
      </c>
      <c r="C105" s="1"/>
    </row>
    <row r="106" spans="1:3" ht="15">
      <c r="A106" s="11" t="s">
        <v>184</v>
      </c>
      <c r="C106" s="1"/>
    </row>
    <row r="107" spans="1:3" ht="15">
      <c r="A107" s="11" t="s">
        <v>181</v>
      </c>
      <c r="C107" s="1"/>
    </row>
    <row r="108" spans="1:3" ht="15">
      <c r="A108" s="11" t="s">
        <v>181</v>
      </c>
      <c r="C108" s="1"/>
    </row>
    <row r="109" spans="1:3" ht="15">
      <c r="A109" s="11" t="s">
        <v>180</v>
      </c>
      <c r="C109" s="1"/>
    </row>
    <row r="110" spans="1:3" ht="15">
      <c r="A110" s="11"/>
      <c r="C110" s="1"/>
    </row>
    <row r="111" spans="1:3" ht="15">
      <c r="A111" s="11" t="s">
        <v>185</v>
      </c>
      <c r="C111" s="1"/>
    </row>
    <row r="112" spans="1:3" ht="15">
      <c r="A112" s="11" t="s">
        <v>186</v>
      </c>
      <c r="C112" s="1"/>
    </row>
    <row r="113" spans="1:3" ht="15">
      <c r="A113" s="11" t="s">
        <v>187</v>
      </c>
      <c r="C113" s="1"/>
    </row>
    <row r="114" spans="1:3" ht="15">
      <c r="A114" s="11" t="s">
        <v>188</v>
      </c>
      <c r="C114" s="1"/>
    </row>
    <row r="115" spans="1:3" ht="15">
      <c r="A115" s="11" t="s">
        <v>189</v>
      </c>
      <c r="C115" s="1"/>
    </row>
    <row r="116" spans="1:3" ht="15">
      <c r="A116" s="11" t="s">
        <v>72</v>
      </c>
      <c r="C116" s="1"/>
    </row>
    <row r="117" spans="1:3" ht="15">
      <c r="A117" s="11" t="s">
        <v>190</v>
      </c>
      <c r="C117" s="1"/>
    </row>
    <row r="118" spans="1:3" ht="15">
      <c r="A118" s="11" t="s">
        <v>187</v>
      </c>
      <c r="C118" s="1"/>
    </row>
    <row r="119" spans="1:3" ht="15">
      <c r="A119" s="11" t="s">
        <v>187</v>
      </c>
      <c r="C119" s="1"/>
    </row>
    <row r="120" spans="1:3" ht="15">
      <c r="A120" s="11" t="s">
        <v>186</v>
      </c>
      <c r="C120" s="1"/>
    </row>
    <row r="121" spans="1:3" ht="15">
      <c r="A121" s="11"/>
      <c r="C121" s="1"/>
    </row>
    <row r="122" spans="1:3" ht="15">
      <c r="A122" s="11" t="s">
        <v>191</v>
      </c>
      <c r="C122" s="1"/>
    </row>
    <row r="123" spans="1:3" ht="15">
      <c r="A123" s="11" t="s">
        <v>192</v>
      </c>
      <c r="C123" s="1"/>
    </row>
    <row r="124" spans="1:3" ht="15">
      <c r="A124" s="11" t="s">
        <v>193</v>
      </c>
      <c r="C124" s="1"/>
    </row>
    <row r="125" spans="1:3" ht="15">
      <c r="A125" s="11" t="s">
        <v>194</v>
      </c>
      <c r="C125" s="1"/>
    </row>
    <row r="126" spans="1:3" ht="15">
      <c r="A126" s="11" t="s">
        <v>195</v>
      </c>
      <c r="C126" s="1"/>
    </row>
    <row r="127" spans="1:3" ht="15">
      <c r="A127" s="11" t="s">
        <v>72</v>
      </c>
      <c r="C127" s="1"/>
    </row>
    <row r="128" spans="1:3" ht="15">
      <c r="A128" s="11" t="s">
        <v>196</v>
      </c>
      <c r="C128" s="1"/>
    </row>
    <row r="129" spans="1:3" ht="15">
      <c r="A129" s="11" t="s">
        <v>193</v>
      </c>
      <c r="C129" s="1"/>
    </row>
    <row r="130" spans="1:3" ht="15">
      <c r="A130" s="11" t="s">
        <v>193</v>
      </c>
      <c r="C130" s="1"/>
    </row>
    <row r="131" spans="1:3" ht="15">
      <c r="A131" s="11" t="s">
        <v>192</v>
      </c>
      <c r="C131" s="1"/>
    </row>
    <row r="132" spans="1:3" ht="15">
      <c r="A132" s="11"/>
      <c r="C132" s="1"/>
    </row>
    <row r="133" spans="1:3" ht="15">
      <c r="A133" s="11" t="s">
        <v>197</v>
      </c>
      <c r="C133" s="1"/>
    </row>
    <row r="134" spans="1:3" ht="15">
      <c r="A134" s="11" t="s">
        <v>198</v>
      </c>
      <c r="C134" s="1"/>
    </row>
    <row r="135" spans="1:3" ht="15">
      <c r="A135" s="11" t="s">
        <v>199</v>
      </c>
      <c r="C135" s="1"/>
    </row>
    <row r="136" spans="1:3" ht="15">
      <c r="A136" s="11" t="s">
        <v>200</v>
      </c>
      <c r="C136" s="1"/>
    </row>
    <row r="137" spans="1:3" ht="15">
      <c r="A137" s="11" t="s">
        <v>201</v>
      </c>
      <c r="C137" s="1"/>
    </row>
    <row r="138" spans="1:3" ht="15">
      <c r="A138" s="11" t="s">
        <v>72</v>
      </c>
      <c r="C138" s="1"/>
    </row>
    <row r="139" spans="1:3" ht="15">
      <c r="A139" s="11" t="s">
        <v>202</v>
      </c>
      <c r="C139" s="1"/>
    </row>
    <row r="140" spans="1:3" ht="15">
      <c r="A140" s="11" t="s">
        <v>199</v>
      </c>
      <c r="C140" s="1"/>
    </row>
    <row r="141" spans="1:3" ht="15">
      <c r="A141" s="11" t="s">
        <v>199</v>
      </c>
      <c r="C141" s="1"/>
    </row>
    <row r="142" spans="1:3" ht="15">
      <c r="A142" s="11" t="s">
        <v>198</v>
      </c>
      <c r="C142" s="1"/>
    </row>
    <row r="143" spans="1:3" ht="15">
      <c r="A143" s="11"/>
      <c r="C143" s="1"/>
    </row>
    <row r="144" spans="1:3" ht="15">
      <c r="A144" s="11" t="s">
        <v>203</v>
      </c>
      <c r="C144" s="1"/>
    </row>
    <row r="145" spans="1:3" ht="15">
      <c r="A145" s="11" t="s">
        <v>204</v>
      </c>
      <c r="C145" s="1"/>
    </row>
    <row r="146" spans="1:3" ht="15">
      <c r="A146" s="11" t="s">
        <v>205</v>
      </c>
      <c r="C146" s="1"/>
    </row>
    <row r="147" spans="1:3" ht="15">
      <c r="A147" s="11" t="s">
        <v>206</v>
      </c>
      <c r="C147" s="1"/>
    </row>
    <row r="148" spans="1:3" ht="15">
      <c r="A148" s="11" t="s">
        <v>207</v>
      </c>
      <c r="C148" s="1"/>
    </row>
    <row r="149" spans="1:3" ht="15">
      <c r="A149" s="11" t="s">
        <v>72</v>
      </c>
      <c r="C149" s="1"/>
    </row>
    <row r="150" spans="1:3" ht="15">
      <c r="A150" s="11" t="s">
        <v>208</v>
      </c>
      <c r="C150" s="1"/>
    </row>
    <row r="151" spans="1:3" ht="15">
      <c r="A151" s="11" t="s">
        <v>205</v>
      </c>
      <c r="C151" s="1"/>
    </row>
    <row r="152" spans="1:3" ht="15">
      <c r="A152" s="11" t="s">
        <v>205</v>
      </c>
      <c r="C152" s="1"/>
    </row>
    <row r="153" spans="1:3" ht="15">
      <c r="A153" s="11" t="s">
        <v>204</v>
      </c>
      <c r="C153" s="1"/>
    </row>
    <row r="154" spans="1:3" ht="15">
      <c r="A154" s="11"/>
      <c r="C154" s="1"/>
    </row>
    <row r="155" spans="1:3" ht="15">
      <c r="A155" s="11" t="s">
        <v>209</v>
      </c>
      <c r="C155" s="1"/>
    </row>
    <row r="156" spans="1:3" ht="15">
      <c r="A156" s="11" t="s">
        <v>210</v>
      </c>
      <c r="C156" s="1"/>
    </row>
    <row r="157" spans="1:3" ht="15">
      <c r="A157" s="11" t="s">
        <v>211</v>
      </c>
      <c r="C157" s="1"/>
    </row>
    <row r="158" spans="1:3" ht="15">
      <c r="A158" s="11" t="s">
        <v>212</v>
      </c>
      <c r="C158" s="1"/>
    </row>
    <row r="159" spans="1:3" ht="15">
      <c r="A159" s="11" t="s">
        <v>213</v>
      </c>
      <c r="C159" s="1"/>
    </row>
    <row r="160" spans="1:3" ht="15">
      <c r="A160" s="11" t="s">
        <v>72</v>
      </c>
      <c r="C160" s="1"/>
    </row>
    <row r="161" spans="1:3" ht="15">
      <c r="A161" s="11" t="s">
        <v>214</v>
      </c>
      <c r="C161" s="1"/>
    </row>
    <row r="162" spans="1:3" ht="15">
      <c r="A162" s="11" t="s">
        <v>211</v>
      </c>
      <c r="C162" s="1"/>
    </row>
    <row r="163" spans="1:3" ht="15">
      <c r="A163" s="11" t="s">
        <v>211</v>
      </c>
      <c r="C163" s="1"/>
    </row>
    <row r="164" spans="1:3" ht="15">
      <c r="A164" s="11" t="s">
        <v>210</v>
      </c>
      <c r="C164" s="1"/>
    </row>
    <row r="165" spans="1:3" ht="15">
      <c r="A165" s="11"/>
      <c r="C165" s="1"/>
    </row>
    <row r="166" spans="1:3" ht="15">
      <c r="A166" s="11" t="s">
        <v>215</v>
      </c>
      <c r="C166" s="1"/>
    </row>
    <row r="167" spans="1:3" ht="15">
      <c r="A167" s="11" t="s">
        <v>216</v>
      </c>
      <c r="C167" s="1"/>
    </row>
    <row r="168" spans="1:3" ht="15">
      <c r="A168" s="11" t="s">
        <v>217</v>
      </c>
      <c r="C168" s="1"/>
    </row>
    <row r="169" spans="1:3" ht="15">
      <c r="A169" s="11" t="s">
        <v>218</v>
      </c>
      <c r="C169" s="1"/>
    </row>
    <row r="170" spans="1:3" ht="15">
      <c r="A170" s="11" t="s">
        <v>219</v>
      </c>
      <c r="C170" s="1"/>
    </row>
    <row r="171" spans="1:3" ht="15">
      <c r="A171" s="11" t="s">
        <v>72</v>
      </c>
      <c r="C171" s="1"/>
    </row>
    <row r="172" spans="1:3" ht="15">
      <c r="A172" s="11" t="s">
        <v>220</v>
      </c>
      <c r="C172" s="1"/>
    </row>
    <row r="173" spans="1:3" ht="15">
      <c r="A173" s="11" t="s">
        <v>217</v>
      </c>
      <c r="C173" s="1"/>
    </row>
    <row r="174" spans="1:3" ht="15">
      <c r="A174" s="11" t="s">
        <v>217</v>
      </c>
      <c r="C174" s="1"/>
    </row>
    <row r="175" spans="1:3" ht="15">
      <c r="A175" s="11" t="s">
        <v>216</v>
      </c>
      <c r="C175" s="1"/>
    </row>
    <row r="176" spans="1:3" ht="15">
      <c r="A176" s="11"/>
      <c r="C176" s="1"/>
    </row>
    <row r="177" spans="1:3" ht="15">
      <c r="A177" s="11" t="s">
        <v>221</v>
      </c>
      <c r="C177" s="1"/>
    </row>
    <row r="178" spans="1:3" ht="15">
      <c r="A178" s="11" t="s">
        <v>222</v>
      </c>
      <c r="C178" s="1"/>
    </row>
    <row r="179" spans="1:3" ht="15">
      <c r="A179" s="11" t="s">
        <v>223</v>
      </c>
      <c r="C179" s="1"/>
    </row>
    <row r="180" spans="1:3" ht="15">
      <c r="A180" s="11" t="s">
        <v>224</v>
      </c>
      <c r="C180" s="1"/>
    </row>
    <row r="181" spans="1:3" ht="15">
      <c r="A181" s="11" t="s">
        <v>225</v>
      </c>
      <c r="C181" s="1"/>
    </row>
    <row r="182" spans="1:3" ht="15">
      <c r="A182" s="11" t="s">
        <v>72</v>
      </c>
      <c r="C182" s="1"/>
    </row>
    <row r="183" spans="1:3" ht="15">
      <c r="A183" s="11" t="s">
        <v>226</v>
      </c>
      <c r="C183" s="1"/>
    </row>
    <row r="184" spans="1:3" ht="15">
      <c r="A184" s="11" t="s">
        <v>223</v>
      </c>
      <c r="C184" s="1"/>
    </row>
    <row r="185" spans="1:3" ht="15">
      <c r="A185" s="12" t="s">
        <v>223</v>
      </c>
      <c r="C185" s="1"/>
    </row>
    <row r="186" spans="1:3" ht="15">
      <c r="A186" s="10" t="s">
        <v>222</v>
      </c>
      <c r="C186" s="1"/>
    </row>
    <row r="187" spans="1:3" ht="15">
      <c r="C187" s="1"/>
    </row>
    <row r="188" spans="1:3" ht="15">
      <c r="A188" s="10" t="s">
        <v>227</v>
      </c>
      <c r="C188" s="1"/>
    </row>
    <row r="189" spans="1:3" ht="15">
      <c r="A189" s="10" t="s">
        <v>228</v>
      </c>
      <c r="C189" s="1"/>
    </row>
    <row r="190" spans="1:3" ht="15">
      <c r="A190" s="10" t="s">
        <v>229</v>
      </c>
      <c r="C190" s="1"/>
    </row>
    <row r="191" spans="1:3" ht="15">
      <c r="A191" s="10" t="s">
        <v>230</v>
      </c>
      <c r="C191" s="1"/>
    </row>
    <row r="192" spans="1:3" ht="15">
      <c r="A192" s="10" t="s">
        <v>231</v>
      </c>
      <c r="C192" s="1"/>
    </row>
    <row r="193" spans="1:3" ht="15">
      <c r="A193" s="10" t="s">
        <v>72</v>
      </c>
      <c r="C193" s="1"/>
    </row>
    <row r="194" spans="1:3" ht="15">
      <c r="A194" s="10" t="s">
        <v>232</v>
      </c>
      <c r="C194" s="1"/>
    </row>
    <row r="195" spans="1:3" ht="15">
      <c r="A195" s="10" t="s">
        <v>229</v>
      </c>
      <c r="C195" s="1"/>
    </row>
    <row r="196" spans="1:3" ht="15">
      <c r="A196" s="10" t="s">
        <v>229</v>
      </c>
      <c r="C196" s="1"/>
    </row>
    <row r="197" spans="1:3" ht="15">
      <c r="A197" s="10" t="s">
        <v>228</v>
      </c>
      <c r="C197" s="1"/>
    </row>
    <row r="198" spans="1:3" ht="15">
      <c r="C198" s="1"/>
    </row>
    <row r="199" spans="1:3" ht="15">
      <c r="A199" s="10" t="s">
        <v>233</v>
      </c>
      <c r="C199" s="1"/>
    </row>
    <row r="200" spans="1:3" ht="15">
      <c r="A200" s="10" t="s">
        <v>234</v>
      </c>
      <c r="C200" s="1"/>
    </row>
    <row r="201" spans="1:3" ht="15">
      <c r="A201" s="10" t="s">
        <v>235</v>
      </c>
      <c r="C201" s="1"/>
    </row>
    <row r="202" spans="1:3" ht="15">
      <c r="A202" s="10" t="s">
        <v>236</v>
      </c>
      <c r="C202" s="1"/>
    </row>
    <row r="203" spans="1:3" ht="15">
      <c r="A203" s="10" t="s">
        <v>237</v>
      </c>
      <c r="C203" s="1"/>
    </row>
    <row r="204" spans="1:3" ht="15">
      <c r="A204" s="10" t="s">
        <v>72</v>
      </c>
      <c r="C204" s="1"/>
    </row>
    <row r="205" spans="1:3" ht="15">
      <c r="A205" s="10" t="s">
        <v>238</v>
      </c>
      <c r="C205" s="1"/>
    </row>
    <row r="206" spans="1:3" ht="15">
      <c r="A206" s="10" t="s">
        <v>235</v>
      </c>
      <c r="C206" s="1"/>
    </row>
    <row r="207" spans="1:3" ht="15">
      <c r="A207" s="10" t="s">
        <v>235</v>
      </c>
      <c r="C207" s="1"/>
    </row>
    <row r="208" spans="1:3" ht="15">
      <c r="A208" s="10" t="s">
        <v>234</v>
      </c>
      <c r="C208" s="1"/>
    </row>
    <row r="209" spans="1:3" ht="15">
      <c r="C209" s="1"/>
    </row>
    <row r="210" spans="1:3" ht="15">
      <c r="A210" s="10" t="s">
        <v>239</v>
      </c>
      <c r="C210" s="1"/>
    </row>
    <row r="211" spans="1:3" ht="15">
      <c r="A211" s="10" t="s">
        <v>240</v>
      </c>
      <c r="C211" s="1"/>
    </row>
    <row r="212" spans="1:3" ht="15">
      <c r="A212" s="10" t="s">
        <v>241</v>
      </c>
      <c r="C212" s="1"/>
    </row>
    <row r="213" spans="1:3" ht="15">
      <c r="A213" s="10" t="s">
        <v>242</v>
      </c>
      <c r="C213" s="1"/>
    </row>
    <row r="214" spans="1:3" ht="15">
      <c r="A214" s="10" t="s">
        <v>243</v>
      </c>
      <c r="C214" s="1"/>
    </row>
    <row r="215" spans="1:3" ht="15">
      <c r="A215" s="10" t="s">
        <v>72</v>
      </c>
      <c r="C215" s="1"/>
    </row>
    <row r="216" spans="1:3" ht="15">
      <c r="A216" s="10" t="s">
        <v>244</v>
      </c>
      <c r="C216" s="1"/>
    </row>
    <row r="217" spans="1:3" ht="15">
      <c r="A217" s="10" t="s">
        <v>241</v>
      </c>
      <c r="C217" s="1"/>
    </row>
    <row r="218" spans="1:3" ht="15">
      <c r="A218" s="10" t="s">
        <v>241</v>
      </c>
      <c r="C218" s="1"/>
    </row>
    <row r="219" spans="1:3" ht="15">
      <c r="A219" s="10" t="s">
        <v>240</v>
      </c>
      <c r="C219" s="1"/>
    </row>
    <row r="220" spans="1:3" ht="15">
      <c r="C220" s="1"/>
    </row>
    <row r="221" spans="1:3" ht="15">
      <c r="A221" s="10" t="s">
        <v>245</v>
      </c>
      <c r="C221" s="1"/>
    </row>
    <row r="222" spans="1:3" ht="15">
      <c r="A222" s="10" t="s">
        <v>246</v>
      </c>
      <c r="C222" s="1"/>
    </row>
    <row r="223" spans="1:3" ht="15">
      <c r="A223" s="10" t="s">
        <v>247</v>
      </c>
      <c r="C223" s="1"/>
    </row>
    <row r="224" spans="1:3" ht="15">
      <c r="A224" s="10" t="s">
        <v>248</v>
      </c>
      <c r="C224" s="1"/>
    </row>
    <row r="225" spans="1:3" ht="15">
      <c r="A225" s="10" t="s">
        <v>249</v>
      </c>
      <c r="C225" s="1"/>
    </row>
    <row r="226" spans="1:3" ht="15">
      <c r="A226" s="10" t="s">
        <v>72</v>
      </c>
      <c r="C226" s="1"/>
    </row>
    <row r="227" spans="1:3" ht="15">
      <c r="A227" s="10" t="s">
        <v>250</v>
      </c>
      <c r="C227" s="1"/>
    </row>
    <row r="228" spans="1:3" ht="15">
      <c r="A228" s="10" t="s">
        <v>247</v>
      </c>
      <c r="C228" s="1"/>
    </row>
    <row r="229" spans="1:3" ht="15">
      <c r="A229" s="10" t="s">
        <v>247</v>
      </c>
      <c r="C229" s="1"/>
    </row>
    <row r="230" spans="1:3" ht="15">
      <c r="A230" s="10" t="s">
        <v>246</v>
      </c>
      <c r="C230" s="1"/>
    </row>
    <row r="231" spans="1:3" ht="15">
      <c r="C231" s="1"/>
    </row>
    <row r="232" spans="1:3" ht="15">
      <c r="A232" s="10" t="s">
        <v>251</v>
      </c>
      <c r="C232" s="1"/>
    </row>
    <row r="233" spans="1:3" ht="15">
      <c r="A233" s="10" t="s">
        <v>252</v>
      </c>
      <c r="C233" s="1"/>
    </row>
    <row r="234" spans="1:3" ht="15">
      <c r="A234" s="10" t="s">
        <v>253</v>
      </c>
      <c r="C234" s="1"/>
    </row>
    <row r="235" spans="1:3" ht="15">
      <c r="A235" s="10" t="s">
        <v>254</v>
      </c>
      <c r="C235" s="1"/>
    </row>
    <row r="236" spans="1:3" ht="15">
      <c r="A236" s="10" t="s">
        <v>255</v>
      </c>
      <c r="C236" s="1"/>
    </row>
    <row r="237" spans="1:3" ht="15">
      <c r="A237" s="10" t="s">
        <v>72</v>
      </c>
      <c r="C237" s="1"/>
    </row>
    <row r="238" spans="1:3" ht="15">
      <c r="A238" s="10" t="s">
        <v>256</v>
      </c>
      <c r="C238" s="1"/>
    </row>
    <row r="239" spans="1:3" ht="15">
      <c r="A239" s="10" t="s">
        <v>253</v>
      </c>
      <c r="C239" s="1"/>
    </row>
    <row r="240" spans="1:3" ht="15">
      <c r="A240" s="10" t="s">
        <v>253</v>
      </c>
      <c r="C240" s="1"/>
    </row>
    <row r="241" spans="1:3" ht="15">
      <c r="A241" s="10" t="s">
        <v>252</v>
      </c>
      <c r="C241" s="1"/>
    </row>
    <row r="242" spans="1:3" ht="15">
      <c r="C242" s="1"/>
    </row>
    <row r="243" spans="1:3" ht="15">
      <c r="A243" s="10" t="s">
        <v>257</v>
      </c>
      <c r="C243" s="1"/>
    </row>
    <row r="244" spans="1:3" ht="15">
      <c r="A244" s="10" t="s">
        <v>258</v>
      </c>
      <c r="C244" s="1"/>
    </row>
    <row r="245" spans="1:3" ht="15">
      <c r="A245" s="10" t="s">
        <v>259</v>
      </c>
      <c r="C245" s="1"/>
    </row>
    <row r="246" spans="1:3" ht="15">
      <c r="A246" s="10" t="s">
        <v>260</v>
      </c>
      <c r="C246" s="1"/>
    </row>
    <row r="247" spans="1:3" ht="15">
      <c r="A247" s="10" t="s">
        <v>261</v>
      </c>
      <c r="C247" s="1"/>
    </row>
    <row r="248" spans="1:3" ht="15">
      <c r="A248" s="10" t="s">
        <v>72</v>
      </c>
      <c r="C248" s="1"/>
    </row>
    <row r="249" spans="1:3" ht="15">
      <c r="A249" s="10" t="s">
        <v>262</v>
      </c>
      <c r="C249" s="1"/>
    </row>
    <row r="250" spans="1:3" ht="15">
      <c r="A250" s="10" t="s">
        <v>259</v>
      </c>
      <c r="C250" s="1"/>
    </row>
    <row r="251" spans="1:3" ht="15">
      <c r="A251" s="10" t="s">
        <v>259</v>
      </c>
      <c r="C251" s="1"/>
    </row>
    <row r="252" spans="1:3" ht="15">
      <c r="A252" s="10" t="s">
        <v>258</v>
      </c>
      <c r="C252" s="1"/>
    </row>
    <row r="253" spans="1:3" ht="15">
      <c r="C253" s="1"/>
    </row>
    <row r="254" spans="1:3" ht="15">
      <c r="A254" s="10" t="s">
        <v>263</v>
      </c>
      <c r="C254" s="1"/>
    </row>
    <row r="255" spans="1:3" ht="15">
      <c r="A255" s="10" t="s">
        <v>264</v>
      </c>
      <c r="C255" s="1"/>
    </row>
    <row r="256" spans="1:3" ht="15">
      <c r="A256" s="10" t="s">
        <v>265</v>
      </c>
      <c r="C256" s="1"/>
    </row>
    <row r="257" spans="1:3" ht="15">
      <c r="A257" s="10" t="s">
        <v>266</v>
      </c>
      <c r="C257" s="1"/>
    </row>
    <row r="258" spans="1:3" ht="15">
      <c r="A258" s="10" t="s">
        <v>267</v>
      </c>
      <c r="C258" s="1"/>
    </row>
    <row r="259" spans="1:3" ht="15">
      <c r="A259" s="10" t="s">
        <v>72</v>
      </c>
      <c r="C259" s="1"/>
    </row>
    <row r="260" spans="1:3" ht="15">
      <c r="A260" s="10" t="s">
        <v>268</v>
      </c>
      <c r="C260" s="1"/>
    </row>
    <row r="261" spans="1:3" ht="15">
      <c r="A261" s="10" t="s">
        <v>265</v>
      </c>
      <c r="C261" s="1"/>
    </row>
    <row r="262" spans="1:3" ht="15">
      <c r="A262" s="10" t="s">
        <v>265</v>
      </c>
      <c r="C262" s="1"/>
    </row>
    <row r="263" spans="1:3" ht="15">
      <c r="A263" s="10" t="s">
        <v>264</v>
      </c>
      <c r="C263" s="1"/>
    </row>
    <row r="264" spans="1:3" ht="15">
      <c r="C264" s="1"/>
    </row>
    <row r="265" spans="1:3" ht="15">
      <c r="A265" s="10" t="s">
        <v>269</v>
      </c>
      <c r="C265" s="1"/>
    </row>
    <row r="266" spans="1:3" ht="15">
      <c r="A266" s="10" t="s">
        <v>270</v>
      </c>
      <c r="C266" s="1"/>
    </row>
    <row r="267" spans="1:3" ht="15">
      <c r="A267" s="10" t="s">
        <v>271</v>
      </c>
      <c r="C267" s="1"/>
    </row>
    <row r="268" spans="1:3" ht="15">
      <c r="A268" s="10" t="s">
        <v>272</v>
      </c>
      <c r="C268" s="1"/>
    </row>
    <row r="269" spans="1:3" ht="15">
      <c r="A269" s="10" t="s">
        <v>273</v>
      </c>
      <c r="C269" s="1"/>
    </row>
    <row r="270" spans="1:3" ht="15">
      <c r="A270" s="10" t="s">
        <v>72</v>
      </c>
      <c r="C270" s="1"/>
    </row>
    <row r="271" spans="1:3" ht="15">
      <c r="A271" s="10" t="s">
        <v>274</v>
      </c>
      <c r="C271" s="1"/>
    </row>
    <row r="272" spans="1:3" ht="15">
      <c r="A272" s="10" t="s">
        <v>271</v>
      </c>
      <c r="C272" s="1"/>
    </row>
    <row r="273" spans="1:3" ht="15">
      <c r="A273" s="10" t="s">
        <v>271</v>
      </c>
      <c r="C273" s="1"/>
    </row>
    <row r="274" spans="1:3" ht="15">
      <c r="A274" s="10" t="s">
        <v>270</v>
      </c>
      <c r="C274" s="1"/>
    </row>
    <row r="275" spans="1:3" ht="15">
      <c r="C275" s="1"/>
    </row>
    <row r="276" spans="1:3" ht="15">
      <c r="A276" s="10" t="s">
        <v>275</v>
      </c>
      <c r="C276" s="1"/>
    </row>
    <row r="277" spans="1:3" ht="15">
      <c r="A277" s="10" t="s">
        <v>276</v>
      </c>
      <c r="C277" s="1"/>
    </row>
    <row r="278" spans="1:3" ht="15">
      <c r="A278" s="10" t="s">
        <v>277</v>
      </c>
      <c r="C278" s="1"/>
    </row>
    <row r="279" spans="1:3" ht="15">
      <c r="A279" s="10" t="s">
        <v>278</v>
      </c>
      <c r="C279" s="1"/>
    </row>
    <row r="280" spans="1:3" ht="15">
      <c r="A280" s="10" t="s">
        <v>279</v>
      </c>
      <c r="C280" s="1"/>
    </row>
    <row r="281" spans="1:3" ht="15">
      <c r="A281" s="10" t="s">
        <v>72</v>
      </c>
      <c r="C281" s="1"/>
    </row>
    <row r="282" spans="1:3" ht="15">
      <c r="A282" s="10" t="s">
        <v>280</v>
      </c>
      <c r="C282" s="1"/>
    </row>
    <row r="283" spans="1:3" ht="15">
      <c r="A283" s="10" t="s">
        <v>277</v>
      </c>
      <c r="C283" s="1"/>
    </row>
    <row r="284" spans="1:3" ht="15">
      <c r="A284" s="10" t="s">
        <v>277</v>
      </c>
      <c r="C284" s="1"/>
    </row>
    <row r="285" spans="1:3" ht="15">
      <c r="A285" s="10" t="s">
        <v>276</v>
      </c>
      <c r="C285" s="1"/>
    </row>
    <row r="286" spans="1:3" ht="15">
      <c r="C286" s="1"/>
    </row>
    <row r="287" spans="1:3" ht="15">
      <c r="A287" s="10" t="s">
        <v>281</v>
      </c>
      <c r="C287" s="1"/>
    </row>
    <row r="288" spans="1:3" ht="15">
      <c r="A288" s="10" t="s">
        <v>282</v>
      </c>
      <c r="C288" s="1"/>
    </row>
    <row r="289" spans="1:3" ht="15">
      <c r="A289" s="10" t="s">
        <v>283</v>
      </c>
      <c r="C289" s="1"/>
    </row>
    <row r="290" spans="1:3" ht="15">
      <c r="A290" s="10" t="s">
        <v>284</v>
      </c>
      <c r="C290" s="1"/>
    </row>
    <row r="291" spans="1:3" ht="15">
      <c r="A291" s="10" t="s">
        <v>285</v>
      </c>
      <c r="C291" s="1"/>
    </row>
    <row r="292" spans="1:3" ht="15">
      <c r="A292" s="10" t="s">
        <v>72</v>
      </c>
      <c r="C292" s="1"/>
    </row>
    <row r="293" spans="1:3" ht="15">
      <c r="A293" s="10" t="s">
        <v>286</v>
      </c>
      <c r="C293" s="1"/>
    </row>
    <row r="294" spans="1:3" ht="15">
      <c r="A294" s="10" t="s">
        <v>283</v>
      </c>
      <c r="C294" s="1"/>
    </row>
    <row r="295" spans="1:3" ht="15">
      <c r="A295" s="10" t="s">
        <v>283</v>
      </c>
      <c r="C295" s="1"/>
    </row>
    <row r="296" spans="1:3" ht="15">
      <c r="A296" s="10" t="s">
        <v>282</v>
      </c>
      <c r="C296" s="1"/>
    </row>
    <row r="297" spans="1:3" ht="15">
      <c r="C297" s="1"/>
    </row>
    <row r="298" spans="1:3" ht="15">
      <c r="A298" s="10" t="s">
        <v>287</v>
      </c>
      <c r="C298" s="1"/>
    </row>
    <row r="299" spans="1:3" ht="15">
      <c r="A299" s="10" t="s">
        <v>288</v>
      </c>
      <c r="C299" s="1"/>
    </row>
    <row r="300" spans="1:3" ht="15">
      <c r="A300" s="10" t="s">
        <v>289</v>
      </c>
      <c r="C300" s="1"/>
    </row>
    <row r="301" spans="1:3" ht="15">
      <c r="A301" s="10" t="s">
        <v>290</v>
      </c>
      <c r="C301" s="1"/>
    </row>
    <row r="302" spans="1:3" ht="15">
      <c r="A302" s="10" t="s">
        <v>291</v>
      </c>
      <c r="C302" s="1"/>
    </row>
    <row r="303" spans="1:3" ht="15">
      <c r="A303" s="10" t="s">
        <v>72</v>
      </c>
      <c r="C303" s="1"/>
    </row>
    <row r="304" spans="1:3" ht="15">
      <c r="A304" s="10" t="s">
        <v>292</v>
      </c>
      <c r="C304" s="1"/>
    </row>
    <row r="305" spans="1:3" ht="15">
      <c r="A305" s="10" t="s">
        <v>289</v>
      </c>
      <c r="C305" s="1"/>
    </row>
    <row r="306" spans="1:3" ht="15">
      <c r="A306" s="10" t="s">
        <v>289</v>
      </c>
      <c r="C306" s="1"/>
    </row>
    <row r="307" spans="1:3" ht="15">
      <c r="A307" s="10" t="s">
        <v>288</v>
      </c>
      <c r="C307" s="1"/>
    </row>
    <row r="308" spans="1:3" ht="15">
      <c r="C308" s="1"/>
    </row>
    <row r="309" spans="1:3" ht="15">
      <c r="A309" s="10" t="s">
        <v>293</v>
      </c>
      <c r="C309" s="1"/>
    </row>
    <row r="310" spans="1:3" ht="15">
      <c r="A310" s="10" t="s">
        <v>294</v>
      </c>
      <c r="C310" s="1"/>
    </row>
    <row r="311" spans="1:3" ht="15">
      <c r="A311" s="10" t="s">
        <v>295</v>
      </c>
      <c r="C311" s="1"/>
    </row>
    <row r="312" spans="1:3" ht="15">
      <c r="A312" s="10" t="s">
        <v>296</v>
      </c>
      <c r="C312" s="1"/>
    </row>
    <row r="313" spans="1:3" ht="15">
      <c r="A313" s="10" t="s">
        <v>297</v>
      </c>
      <c r="C313" s="1"/>
    </row>
    <row r="314" spans="1:3" ht="15">
      <c r="A314" s="10" t="s">
        <v>72</v>
      </c>
      <c r="C314" s="1"/>
    </row>
    <row r="315" spans="1:3" ht="15">
      <c r="A315" s="10" t="s">
        <v>298</v>
      </c>
      <c r="C315" s="1"/>
    </row>
    <row r="316" spans="1:3" ht="15">
      <c r="A316" s="10" t="s">
        <v>295</v>
      </c>
      <c r="C316" s="1"/>
    </row>
    <row r="317" spans="1:3" ht="15">
      <c r="A317" s="10" t="s">
        <v>295</v>
      </c>
      <c r="C317" s="1"/>
    </row>
    <row r="318" spans="1:3" ht="15">
      <c r="A318" s="10" t="s">
        <v>294</v>
      </c>
      <c r="C318" s="1"/>
    </row>
    <row r="319" spans="1:3" ht="15">
      <c r="C319" s="1"/>
    </row>
    <row r="320" spans="1:3" ht="15">
      <c r="A320" s="10" t="s">
        <v>299</v>
      </c>
      <c r="C320" s="1"/>
    </row>
    <row r="321" spans="1:3" ht="15">
      <c r="A321" s="10" t="s">
        <v>300</v>
      </c>
      <c r="C321" s="1"/>
    </row>
    <row r="322" spans="1:3" ht="15">
      <c r="A322" s="10" t="s">
        <v>301</v>
      </c>
      <c r="C322" s="1"/>
    </row>
    <row r="323" spans="1:3" ht="15">
      <c r="A323" s="10" t="s">
        <v>302</v>
      </c>
      <c r="C323" s="1"/>
    </row>
    <row r="324" spans="1:3" ht="15">
      <c r="A324" s="10" t="s">
        <v>303</v>
      </c>
      <c r="C324" s="1"/>
    </row>
    <row r="325" spans="1:3" ht="15">
      <c r="A325" s="10" t="s">
        <v>72</v>
      </c>
      <c r="C325" s="1"/>
    </row>
    <row r="326" spans="1:3" ht="15">
      <c r="A326" s="10" t="s">
        <v>304</v>
      </c>
      <c r="C326" s="1"/>
    </row>
    <row r="327" spans="1:3" ht="15">
      <c r="A327" s="10" t="s">
        <v>301</v>
      </c>
      <c r="C327" s="1"/>
    </row>
    <row r="328" spans="1:3" ht="15">
      <c r="A328" s="10" t="s">
        <v>301</v>
      </c>
      <c r="C328" s="1"/>
    </row>
    <row r="329" spans="1:3" ht="15">
      <c r="A329" s="10" t="s">
        <v>300</v>
      </c>
      <c r="C329" s="1"/>
    </row>
    <row r="330" spans="1:3" ht="15">
      <c r="C330" s="1"/>
    </row>
    <row r="331" spans="1:3" ht="15">
      <c r="A331" s="10" t="s">
        <v>305</v>
      </c>
      <c r="C331" s="1"/>
    </row>
    <row r="332" spans="1:3" ht="15">
      <c r="A332" s="10" t="s">
        <v>306</v>
      </c>
      <c r="C332" s="1"/>
    </row>
    <row r="333" spans="1:3" ht="15">
      <c r="A333" s="10" t="s">
        <v>307</v>
      </c>
      <c r="C333" s="1"/>
    </row>
    <row r="334" spans="1:3" ht="15">
      <c r="A334" s="10" t="s">
        <v>308</v>
      </c>
      <c r="C334" s="1"/>
    </row>
    <row r="335" spans="1:3" ht="15">
      <c r="A335" s="10" t="s">
        <v>309</v>
      </c>
      <c r="C335" s="1"/>
    </row>
    <row r="336" spans="1:3" ht="15">
      <c r="A336" s="10" t="s">
        <v>72</v>
      </c>
      <c r="C336" s="1"/>
    </row>
    <row r="337" spans="1:3" ht="15">
      <c r="A337" s="10" t="s">
        <v>310</v>
      </c>
      <c r="C337" s="1"/>
    </row>
    <row r="338" spans="1:3" ht="15">
      <c r="A338" s="10" t="s">
        <v>307</v>
      </c>
      <c r="C338" s="1"/>
    </row>
    <row r="339" spans="1:3" ht="15">
      <c r="A339" s="10" t="s">
        <v>307</v>
      </c>
      <c r="C339" s="1"/>
    </row>
    <row r="340" spans="1:3" ht="15">
      <c r="A340" s="10" t="s">
        <v>306</v>
      </c>
      <c r="C340" s="1"/>
    </row>
    <row r="341" spans="1:3" ht="15">
      <c r="C341" s="1"/>
    </row>
    <row r="342" spans="1:3" ht="15">
      <c r="A342" s="10" t="s">
        <v>311</v>
      </c>
      <c r="C342" s="1"/>
    </row>
    <row r="343" spans="1:3" ht="15">
      <c r="A343" s="10" t="s">
        <v>312</v>
      </c>
      <c r="C343" s="1"/>
    </row>
    <row r="344" spans="1:3" ht="15">
      <c r="A344" s="10" t="s">
        <v>313</v>
      </c>
      <c r="C344" s="1"/>
    </row>
    <row r="345" spans="1:3" ht="15">
      <c r="A345" s="10" t="s">
        <v>314</v>
      </c>
      <c r="C345" s="1"/>
    </row>
    <row r="346" spans="1:3" ht="15">
      <c r="A346" s="10" t="s">
        <v>315</v>
      </c>
      <c r="C346" s="1"/>
    </row>
    <row r="347" spans="1:3" ht="15">
      <c r="A347" s="10" t="s">
        <v>72</v>
      </c>
      <c r="C347" s="1"/>
    </row>
    <row r="348" spans="1:3" ht="15">
      <c r="A348" s="10" t="s">
        <v>316</v>
      </c>
      <c r="C348" s="1"/>
    </row>
    <row r="349" spans="1:3" ht="15">
      <c r="A349" s="10" t="s">
        <v>313</v>
      </c>
      <c r="C349" s="1"/>
    </row>
    <row r="350" spans="1:3" ht="15">
      <c r="A350" s="10" t="s">
        <v>313</v>
      </c>
      <c r="C350" s="1"/>
    </row>
    <row r="351" spans="1:3" ht="15">
      <c r="A351" s="10" t="s">
        <v>312</v>
      </c>
      <c r="C351" s="1"/>
    </row>
    <row r="352" spans="1:3" ht="15">
      <c r="C352" s="1"/>
    </row>
    <row r="353" spans="1:3" ht="15">
      <c r="A353" s="10" t="s">
        <v>317</v>
      </c>
      <c r="C353" s="1"/>
    </row>
    <row r="354" spans="1:3" ht="15">
      <c r="A354" s="10" t="s">
        <v>318</v>
      </c>
      <c r="C354" s="1"/>
    </row>
    <row r="355" spans="1:3" ht="15">
      <c r="A355" s="10" t="s">
        <v>319</v>
      </c>
      <c r="C355" s="1"/>
    </row>
    <row r="356" spans="1:3" ht="15">
      <c r="A356" s="10" t="s">
        <v>320</v>
      </c>
      <c r="C356" s="1"/>
    </row>
    <row r="357" spans="1:3" ht="15">
      <c r="A357" s="10" t="s">
        <v>321</v>
      </c>
      <c r="C357" s="1"/>
    </row>
    <row r="358" spans="1:3" ht="15">
      <c r="A358" s="10" t="s">
        <v>72</v>
      </c>
      <c r="C358" s="1"/>
    </row>
    <row r="359" spans="1:3" ht="15">
      <c r="A359" s="10" t="s">
        <v>322</v>
      </c>
      <c r="C359" s="1"/>
    </row>
    <row r="360" spans="1:3" ht="15">
      <c r="A360" s="10" t="s">
        <v>319</v>
      </c>
      <c r="C360" s="1"/>
    </row>
    <row r="361" spans="1:3" ht="15">
      <c r="A361" s="10" t="s">
        <v>319</v>
      </c>
      <c r="C361" s="1"/>
    </row>
    <row r="362" spans="1:3" ht="15">
      <c r="A362" s="10" t="s">
        <v>318</v>
      </c>
      <c r="C362" s="1"/>
    </row>
    <row r="363" spans="1:3" ht="15">
      <c r="C363" s="1"/>
    </row>
    <row r="364" spans="1:3" ht="15">
      <c r="A364" s="10" t="s">
        <v>323</v>
      </c>
      <c r="C364" s="1"/>
    </row>
    <row r="365" spans="1:3" ht="15">
      <c r="A365" s="10" t="s">
        <v>324</v>
      </c>
      <c r="C365" s="1"/>
    </row>
    <row r="366" spans="1:3" ht="15">
      <c r="A366" s="10" t="s">
        <v>325</v>
      </c>
      <c r="C366" s="1"/>
    </row>
    <row r="367" spans="1:3" ht="15">
      <c r="A367" s="10" t="s">
        <v>326</v>
      </c>
      <c r="C367" s="1"/>
    </row>
    <row r="368" spans="1:3" ht="15">
      <c r="A368" s="10" t="s">
        <v>327</v>
      </c>
      <c r="C368" s="1"/>
    </row>
    <row r="369" spans="1:3" ht="15">
      <c r="A369" s="10" t="s">
        <v>72</v>
      </c>
      <c r="C369" s="1"/>
    </row>
    <row r="370" spans="1:3" ht="15">
      <c r="A370" s="10" t="s">
        <v>328</v>
      </c>
      <c r="C370" s="1"/>
    </row>
    <row r="371" spans="1:3" ht="15">
      <c r="A371" s="10" t="s">
        <v>325</v>
      </c>
      <c r="C371" s="1"/>
    </row>
    <row r="372" spans="1:3" ht="15">
      <c r="A372" s="10" t="s">
        <v>325</v>
      </c>
      <c r="C372" s="1"/>
    </row>
    <row r="373" spans="1:3" ht="15">
      <c r="A373" s="10" t="s">
        <v>324</v>
      </c>
      <c r="C373" s="1"/>
    </row>
    <row r="374" spans="1:3" ht="15">
      <c r="C374" s="1"/>
    </row>
    <row r="375" spans="1:3" ht="15">
      <c r="A375" s="10" t="s">
        <v>329</v>
      </c>
      <c r="C375" s="1"/>
    </row>
    <row r="376" spans="1:3" ht="15">
      <c r="A376" s="10" t="s">
        <v>330</v>
      </c>
      <c r="C376" s="1"/>
    </row>
    <row r="377" spans="1:3" ht="15">
      <c r="A377" s="10" t="s">
        <v>331</v>
      </c>
      <c r="C377" s="1"/>
    </row>
    <row r="378" spans="1:3" ht="15">
      <c r="A378" s="10" t="s">
        <v>332</v>
      </c>
      <c r="C378" s="1"/>
    </row>
    <row r="379" spans="1:3" ht="15">
      <c r="A379" s="10" t="s">
        <v>333</v>
      </c>
      <c r="C379" s="1"/>
    </row>
    <row r="380" spans="1:3" ht="15">
      <c r="A380" s="10" t="s">
        <v>72</v>
      </c>
      <c r="C380" s="1"/>
    </row>
    <row r="381" spans="1:3" ht="15">
      <c r="A381" s="10" t="s">
        <v>334</v>
      </c>
      <c r="C381" s="1"/>
    </row>
    <row r="382" spans="1:3" ht="15">
      <c r="A382" s="10" t="s">
        <v>331</v>
      </c>
      <c r="C382" s="1"/>
    </row>
    <row r="383" spans="1:3" ht="15">
      <c r="A383" s="10" t="s">
        <v>331</v>
      </c>
      <c r="C383" s="1"/>
    </row>
    <row r="384" spans="1:3" ht="15">
      <c r="A384" s="10" t="s">
        <v>330</v>
      </c>
      <c r="C384" s="1"/>
    </row>
    <row r="385" spans="1:3" ht="15">
      <c r="C385" s="1"/>
    </row>
    <row r="386" spans="1:3" ht="15">
      <c r="A386" s="10" t="s">
        <v>335</v>
      </c>
      <c r="C386" s="1"/>
    </row>
    <row r="387" spans="1:3" ht="15">
      <c r="A387" s="10" t="s">
        <v>336</v>
      </c>
      <c r="C387" s="1"/>
    </row>
    <row r="388" spans="1:3" ht="15">
      <c r="A388" s="10" t="s">
        <v>337</v>
      </c>
      <c r="C388" s="1"/>
    </row>
    <row r="389" spans="1:3" ht="15">
      <c r="A389" s="10" t="s">
        <v>338</v>
      </c>
      <c r="C389" s="1"/>
    </row>
    <row r="390" spans="1:3" ht="15">
      <c r="A390" s="10" t="s">
        <v>339</v>
      </c>
      <c r="C390" s="1"/>
    </row>
    <row r="391" spans="1:3" ht="15">
      <c r="A391" s="10" t="s">
        <v>72</v>
      </c>
      <c r="C391" s="1"/>
    </row>
    <row r="392" spans="1:3" ht="15">
      <c r="A392" s="10" t="s">
        <v>340</v>
      </c>
      <c r="C392" s="1"/>
    </row>
    <row r="393" spans="1:3" ht="15">
      <c r="A393" s="10" t="s">
        <v>337</v>
      </c>
      <c r="C393" s="1"/>
    </row>
    <row r="394" spans="1:3" ht="15">
      <c r="A394" s="10" t="s">
        <v>337</v>
      </c>
      <c r="C394" s="1"/>
    </row>
    <row r="395" spans="1:3" ht="15">
      <c r="A395" s="10" t="s">
        <v>336</v>
      </c>
      <c r="C395" s="1"/>
    </row>
    <row r="396" spans="1:3" ht="15">
      <c r="C396" s="1"/>
    </row>
    <row r="397" spans="1:3" ht="15">
      <c r="A397" s="10" t="s">
        <v>341</v>
      </c>
      <c r="C397" s="1"/>
    </row>
    <row r="398" spans="1:3" ht="15">
      <c r="A398" s="10" t="s">
        <v>342</v>
      </c>
      <c r="C398" s="1"/>
    </row>
    <row r="399" spans="1:3" ht="15">
      <c r="A399" s="10" t="s">
        <v>343</v>
      </c>
      <c r="C399" s="1"/>
    </row>
    <row r="400" spans="1:3" ht="15">
      <c r="A400" s="10" t="s">
        <v>344</v>
      </c>
      <c r="C400" s="1"/>
    </row>
    <row r="401" spans="1:3" ht="15">
      <c r="A401" s="10" t="s">
        <v>345</v>
      </c>
      <c r="C401" s="1"/>
    </row>
    <row r="402" spans="1:3" ht="15">
      <c r="A402" s="10" t="s">
        <v>72</v>
      </c>
      <c r="C402" s="1"/>
    </row>
    <row r="403" spans="1:3" ht="15">
      <c r="A403" s="10" t="s">
        <v>346</v>
      </c>
      <c r="C403" s="1"/>
    </row>
    <row r="404" spans="1:3" ht="15">
      <c r="A404" s="10" t="s">
        <v>343</v>
      </c>
      <c r="C404" s="1"/>
    </row>
    <row r="405" spans="1:3" ht="15">
      <c r="A405" s="10" t="s">
        <v>343</v>
      </c>
      <c r="C405" s="1"/>
    </row>
    <row r="406" spans="1:3" ht="15">
      <c r="A406" s="10" t="s">
        <v>342</v>
      </c>
      <c r="C406" s="1"/>
    </row>
    <row r="407" spans="1:3" ht="15">
      <c r="C407" s="1"/>
    </row>
    <row r="408" spans="1:3" ht="15">
      <c r="A408" s="10" t="s">
        <v>347</v>
      </c>
      <c r="C408" s="1"/>
    </row>
    <row r="409" spans="1:3" ht="15">
      <c r="A409" s="10" t="s">
        <v>348</v>
      </c>
      <c r="C409" s="1"/>
    </row>
    <row r="410" spans="1:3" ht="15">
      <c r="A410" s="10" t="s">
        <v>349</v>
      </c>
      <c r="C410" s="1"/>
    </row>
    <row r="411" spans="1:3" ht="15">
      <c r="A411" s="10" t="s">
        <v>350</v>
      </c>
      <c r="C411" s="1"/>
    </row>
    <row r="412" spans="1:3" ht="15">
      <c r="A412" s="10" t="s">
        <v>351</v>
      </c>
      <c r="C412" s="1"/>
    </row>
    <row r="413" spans="1:3" ht="15">
      <c r="A413" s="10" t="s">
        <v>72</v>
      </c>
      <c r="C413" s="1"/>
    </row>
    <row r="414" spans="1:3" ht="15">
      <c r="A414" s="10" t="s">
        <v>352</v>
      </c>
      <c r="C414" s="1"/>
    </row>
    <row r="415" spans="1:3" ht="15">
      <c r="A415" s="10" t="s">
        <v>349</v>
      </c>
      <c r="C415" s="1"/>
    </row>
    <row r="416" spans="1:3" ht="15">
      <c r="A416" s="10" t="s">
        <v>349</v>
      </c>
      <c r="C416" s="1"/>
    </row>
    <row r="417" spans="1:3" ht="15">
      <c r="A417" s="10" t="s">
        <v>348</v>
      </c>
      <c r="C417" s="1"/>
    </row>
    <row r="418" spans="1:3" ht="15">
      <c r="C418" s="1"/>
    </row>
    <row r="419" spans="1:3" ht="15">
      <c r="A419" s="10" t="s">
        <v>353</v>
      </c>
      <c r="C419" s="1"/>
    </row>
    <row r="420" spans="1:3" ht="15">
      <c r="A420" s="10" t="s">
        <v>354</v>
      </c>
      <c r="C420" s="1"/>
    </row>
    <row r="421" spans="1:3" ht="15">
      <c r="A421" s="10" t="s">
        <v>355</v>
      </c>
      <c r="C421" s="1"/>
    </row>
    <row r="422" spans="1:3" ht="15">
      <c r="A422" s="10" t="s">
        <v>356</v>
      </c>
      <c r="C422" s="1"/>
    </row>
    <row r="423" spans="1:3" ht="15">
      <c r="A423" s="10" t="s">
        <v>357</v>
      </c>
      <c r="C423" s="1"/>
    </row>
    <row r="424" spans="1:3" ht="15">
      <c r="A424" s="10" t="s">
        <v>72</v>
      </c>
      <c r="C424" s="1"/>
    </row>
    <row r="425" spans="1:3" ht="15">
      <c r="A425" s="10" t="s">
        <v>358</v>
      </c>
      <c r="C425" s="1"/>
    </row>
    <row r="426" spans="1:3" ht="15">
      <c r="A426" s="10" t="s">
        <v>355</v>
      </c>
      <c r="C426" s="1"/>
    </row>
    <row r="427" spans="1:3" ht="15">
      <c r="A427" s="10" t="s">
        <v>355</v>
      </c>
      <c r="C427" s="1"/>
    </row>
    <row r="428" spans="1:3" ht="15">
      <c r="A428" s="10" t="s">
        <v>354</v>
      </c>
      <c r="C428" s="1"/>
    </row>
    <row r="429" spans="1:3" ht="15">
      <c r="C429" s="1"/>
    </row>
    <row r="430" spans="1:3" ht="15">
      <c r="A430" s="10" t="s">
        <v>359</v>
      </c>
      <c r="C430" s="1"/>
    </row>
    <row r="431" spans="1:3" ht="15">
      <c r="A431" s="10" t="s">
        <v>360</v>
      </c>
      <c r="C431" s="1"/>
    </row>
    <row r="432" spans="1:3" ht="15">
      <c r="A432" s="10" t="s">
        <v>361</v>
      </c>
      <c r="C432" s="1"/>
    </row>
    <row r="433" spans="1:3" ht="15">
      <c r="A433" s="10" t="s">
        <v>362</v>
      </c>
      <c r="C433" s="1"/>
    </row>
    <row r="434" spans="1:3" ht="15">
      <c r="A434" s="10" t="s">
        <v>363</v>
      </c>
      <c r="C434" s="1"/>
    </row>
    <row r="435" spans="1:3" ht="15">
      <c r="A435" s="10" t="s">
        <v>72</v>
      </c>
      <c r="C435" s="1"/>
    </row>
    <row r="436" spans="1:3" ht="15">
      <c r="A436" s="10" t="s">
        <v>364</v>
      </c>
      <c r="C436" s="1"/>
    </row>
    <row r="437" spans="1:3" ht="15">
      <c r="A437" s="10" t="s">
        <v>361</v>
      </c>
      <c r="C437" s="1"/>
    </row>
    <row r="438" spans="1:3" ht="15">
      <c r="A438" s="10" t="s">
        <v>361</v>
      </c>
      <c r="C438" s="1"/>
    </row>
    <row r="439" spans="1:3" ht="15">
      <c r="A439" s="10" t="s">
        <v>360</v>
      </c>
      <c r="C439" s="1"/>
    </row>
    <row r="440" spans="1:3" ht="15">
      <c r="C440" s="1"/>
    </row>
    <row r="441" spans="1:3" ht="15">
      <c r="A441" s="10" t="s">
        <v>365</v>
      </c>
      <c r="C441" s="1"/>
    </row>
    <row r="442" spans="1:3" ht="15">
      <c r="A442" s="10" t="s">
        <v>366</v>
      </c>
      <c r="C442" s="1"/>
    </row>
    <row r="443" spans="1:3" ht="15">
      <c r="A443" s="10" t="s">
        <v>367</v>
      </c>
      <c r="C443" s="1"/>
    </row>
    <row r="444" spans="1:3" ht="15">
      <c r="A444" s="10" t="s">
        <v>368</v>
      </c>
      <c r="C444" s="1"/>
    </row>
    <row r="445" spans="1:3" ht="15">
      <c r="A445" s="10" t="s">
        <v>369</v>
      </c>
      <c r="C445" s="1"/>
    </row>
    <row r="446" spans="1:3" ht="15">
      <c r="A446" s="10" t="s">
        <v>72</v>
      </c>
      <c r="C446" s="1"/>
    </row>
    <row r="447" spans="1:3" ht="15">
      <c r="A447" s="10" t="s">
        <v>370</v>
      </c>
      <c r="C447" s="1"/>
    </row>
    <row r="448" spans="1:3" ht="15">
      <c r="A448" s="10" t="s">
        <v>367</v>
      </c>
      <c r="C448" s="1"/>
    </row>
    <row r="449" spans="1:3" ht="15">
      <c r="A449" s="10" t="s">
        <v>367</v>
      </c>
      <c r="C449" s="1"/>
    </row>
    <row r="450" spans="1:3" ht="15">
      <c r="A450" s="10" t="s">
        <v>366</v>
      </c>
      <c r="C450" s="1"/>
    </row>
    <row r="451" spans="1:3" ht="15">
      <c r="C451" s="1"/>
    </row>
    <row r="452" spans="1:3" ht="15">
      <c r="A452" s="10" t="s">
        <v>371</v>
      </c>
      <c r="C452" s="1"/>
    </row>
    <row r="453" spans="1:3" ht="15">
      <c r="A453" s="10" t="s">
        <v>372</v>
      </c>
      <c r="C453" s="1"/>
    </row>
    <row r="454" spans="1:3" ht="15">
      <c r="A454" s="10" t="s">
        <v>373</v>
      </c>
      <c r="C454" s="1"/>
    </row>
    <row r="455" spans="1:3" ht="15">
      <c r="A455" s="10" t="s">
        <v>374</v>
      </c>
      <c r="C455" s="1"/>
    </row>
    <row r="456" spans="1:3" ht="15">
      <c r="A456" s="10" t="s">
        <v>375</v>
      </c>
      <c r="C456" s="1"/>
    </row>
    <row r="457" spans="1:3" ht="15">
      <c r="A457" s="10" t="s">
        <v>72</v>
      </c>
      <c r="C457" s="1"/>
    </row>
    <row r="458" spans="1:3" ht="15">
      <c r="A458" s="10" t="s">
        <v>376</v>
      </c>
      <c r="C458" s="1"/>
    </row>
    <row r="459" spans="1:3" ht="15">
      <c r="A459" s="10" t="s">
        <v>373</v>
      </c>
      <c r="C459" s="1"/>
    </row>
    <row r="460" spans="1:3" ht="15">
      <c r="A460" s="10" t="s">
        <v>373</v>
      </c>
      <c r="C460" s="1"/>
    </row>
    <row r="461" spans="1:3" ht="15">
      <c r="A461" s="10" t="s">
        <v>372</v>
      </c>
      <c r="C461" s="1"/>
    </row>
    <row r="462" spans="1:3" ht="15">
      <c r="C462" s="1"/>
    </row>
    <row r="463" spans="1:3" ht="15">
      <c r="A463" s="10" t="s">
        <v>377</v>
      </c>
      <c r="C463" s="1"/>
    </row>
    <row r="464" spans="1:3" ht="15">
      <c r="A464" s="10" t="s">
        <v>378</v>
      </c>
      <c r="C464" s="1"/>
    </row>
    <row r="465" spans="1:3" ht="15">
      <c r="A465" s="10" t="s">
        <v>379</v>
      </c>
      <c r="C465" s="1"/>
    </row>
    <row r="466" spans="1:3" ht="15">
      <c r="A466" s="10" t="s">
        <v>380</v>
      </c>
      <c r="C466" s="1"/>
    </row>
    <row r="467" spans="1:3" ht="15">
      <c r="A467" s="10" t="s">
        <v>381</v>
      </c>
      <c r="C467" s="1"/>
    </row>
    <row r="468" spans="1:3" ht="15">
      <c r="A468" s="10" t="s">
        <v>72</v>
      </c>
      <c r="C468" s="1"/>
    </row>
    <row r="469" spans="1:3" ht="15">
      <c r="A469" s="10" t="s">
        <v>382</v>
      </c>
      <c r="C469" s="1"/>
    </row>
    <row r="470" spans="1:3" ht="15">
      <c r="A470" s="10" t="s">
        <v>379</v>
      </c>
      <c r="C470" s="1"/>
    </row>
    <row r="471" spans="1:3" ht="15">
      <c r="A471" s="10" t="s">
        <v>379</v>
      </c>
      <c r="C471" s="1"/>
    </row>
    <row r="472" spans="1:3" ht="15">
      <c r="A472" s="10" t="s">
        <v>378</v>
      </c>
      <c r="C472" s="1"/>
    </row>
    <row r="473" spans="1:3" ht="15">
      <c r="C473" s="1"/>
    </row>
    <row r="474" spans="1:3" ht="15">
      <c r="A474" s="10" t="s">
        <v>383</v>
      </c>
      <c r="C474" s="1"/>
    </row>
    <row r="475" spans="1:3" ht="15">
      <c r="A475" s="10" t="s">
        <v>384</v>
      </c>
      <c r="C475" s="1"/>
    </row>
    <row r="476" spans="1:3" ht="15">
      <c r="A476" s="10" t="s">
        <v>385</v>
      </c>
      <c r="C476" s="1"/>
    </row>
    <row r="477" spans="1:3" ht="15">
      <c r="A477" s="10" t="s">
        <v>386</v>
      </c>
      <c r="C477" s="1"/>
    </row>
    <row r="478" spans="1:3" ht="15">
      <c r="A478" s="10" t="s">
        <v>387</v>
      </c>
      <c r="C478" s="1"/>
    </row>
    <row r="479" spans="1:3" ht="15">
      <c r="A479" s="10" t="s">
        <v>72</v>
      </c>
      <c r="C479" s="1"/>
    </row>
    <row r="480" spans="1:3" ht="15">
      <c r="A480" s="10" t="s">
        <v>388</v>
      </c>
      <c r="C480" s="1"/>
    </row>
    <row r="481" spans="1:3" ht="15">
      <c r="A481" s="10" t="s">
        <v>385</v>
      </c>
      <c r="C481" s="1"/>
    </row>
    <row r="482" spans="1:3" ht="15">
      <c r="A482" s="10" t="s">
        <v>385</v>
      </c>
      <c r="C482" s="1"/>
    </row>
    <row r="483" spans="1:3" ht="15">
      <c r="A483" s="10" t="s">
        <v>384</v>
      </c>
      <c r="C483" s="1"/>
    </row>
    <row r="484" spans="1:3" ht="15">
      <c r="C484" s="1"/>
    </row>
    <row r="485" spans="1:3" ht="15">
      <c r="A485" s="10" t="s">
        <v>389</v>
      </c>
      <c r="C485" s="1"/>
    </row>
    <row r="486" spans="1:3" ht="15">
      <c r="A486" s="10" t="s">
        <v>390</v>
      </c>
      <c r="C486" s="1"/>
    </row>
    <row r="487" spans="1:3" ht="15">
      <c r="A487" s="10" t="s">
        <v>391</v>
      </c>
      <c r="C487" s="1"/>
    </row>
    <row r="488" spans="1:3" ht="15">
      <c r="A488" s="10" t="s">
        <v>392</v>
      </c>
      <c r="C488" s="1"/>
    </row>
    <row r="489" spans="1:3" ht="15">
      <c r="A489" s="10" t="s">
        <v>393</v>
      </c>
      <c r="C489" s="1"/>
    </row>
    <row r="490" spans="1:3" ht="15">
      <c r="A490" s="10" t="s">
        <v>72</v>
      </c>
      <c r="C490" s="1"/>
    </row>
    <row r="491" spans="1:3" ht="15">
      <c r="A491" s="10" t="s">
        <v>394</v>
      </c>
      <c r="C491" s="1"/>
    </row>
    <row r="492" spans="1:3" ht="15">
      <c r="A492" s="10" t="s">
        <v>391</v>
      </c>
      <c r="C492" s="1"/>
    </row>
    <row r="493" spans="1:3" ht="15">
      <c r="A493" s="10" t="s">
        <v>391</v>
      </c>
      <c r="C493" s="1"/>
    </row>
    <row r="494" spans="1:3" ht="15">
      <c r="A494" s="10" t="s">
        <v>390</v>
      </c>
      <c r="C494" s="1"/>
    </row>
    <row r="495" spans="1:3" ht="15">
      <c r="C495" s="1"/>
    </row>
    <row r="496" spans="1:3" ht="15">
      <c r="A496" s="10" t="s">
        <v>395</v>
      </c>
      <c r="C496" s="1"/>
    </row>
    <row r="497" spans="1:3" ht="15">
      <c r="A497" s="10" t="s">
        <v>396</v>
      </c>
      <c r="C497" s="1"/>
    </row>
    <row r="498" spans="1:3" ht="15">
      <c r="A498" s="10" t="s">
        <v>397</v>
      </c>
      <c r="C498" s="1"/>
    </row>
    <row r="499" spans="1:3" ht="15">
      <c r="A499" s="10" t="s">
        <v>398</v>
      </c>
      <c r="C499" s="1"/>
    </row>
    <row r="500" spans="1:3" ht="15">
      <c r="A500" s="10" t="s">
        <v>399</v>
      </c>
      <c r="C500" s="1"/>
    </row>
    <row r="501" spans="1:3" ht="15">
      <c r="A501" s="10" t="s">
        <v>72</v>
      </c>
      <c r="C501" s="1"/>
    </row>
    <row r="502" spans="1:3" ht="15">
      <c r="A502" s="10" t="s">
        <v>400</v>
      </c>
      <c r="C502" s="1"/>
    </row>
    <row r="503" spans="1:3" ht="15">
      <c r="A503" s="10" t="s">
        <v>397</v>
      </c>
      <c r="C503" s="1"/>
    </row>
    <row r="504" spans="1:3" ht="15">
      <c r="A504" s="10" t="s">
        <v>397</v>
      </c>
      <c r="C504" s="1"/>
    </row>
    <row r="505" spans="1:3" ht="15">
      <c r="A505" s="10" t="s">
        <v>396</v>
      </c>
      <c r="C505" s="1"/>
    </row>
    <row r="506" spans="1:3" ht="15">
      <c r="C506" s="1"/>
    </row>
    <row r="507" spans="1:3" ht="15">
      <c r="A507" s="10" t="s">
        <v>401</v>
      </c>
      <c r="C507" s="1"/>
    </row>
    <row r="508" spans="1:3" ht="15">
      <c r="A508" s="10" t="s">
        <v>402</v>
      </c>
      <c r="C508" s="1"/>
    </row>
    <row r="509" spans="1:3" ht="15">
      <c r="A509" s="10" t="s">
        <v>403</v>
      </c>
      <c r="C509" s="1"/>
    </row>
    <row r="510" spans="1:3" ht="15">
      <c r="A510" s="10" t="s">
        <v>404</v>
      </c>
      <c r="C510" s="1"/>
    </row>
    <row r="511" spans="1:3" ht="15">
      <c r="A511" s="10" t="s">
        <v>405</v>
      </c>
      <c r="C511" s="1"/>
    </row>
    <row r="512" spans="1:3" ht="15">
      <c r="A512" s="10" t="s">
        <v>72</v>
      </c>
      <c r="C512" s="1"/>
    </row>
    <row r="513" spans="1:3" ht="15">
      <c r="A513" s="10" t="s">
        <v>406</v>
      </c>
      <c r="C513" s="1"/>
    </row>
    <row r="514" spans="1:3" ht="15">
      <c r="A514" s="10" t="s">
        <v>403</v>
      </c>
      <c r="C514" s="1"/>
    </row>
    <row r="515" spans="1:3" ht="15">
      <c r="A515" s="10" t="s">
        <v>403</v>
      </c>
      <c r="C515" s="1"/>
    </row>
    <row r="516" spans="1:3" ht="15">
      <c r="A516" s="10" t="s">
        <v>402</v>
      </c>
      <c r="C516" s="1"/>
    </row>
    <row r="517" spans="1:3" ht="15">
      <c r="C517" s="1"/>
    </row>
    <row r="518" spans="1:3" ht="15">
      <c r="A518" s="10" t="s">
        <v>407</v>
      </c>
      <c r="C518" s="1"/>
    </row>
    <row r="519" spans="1:3" ht="15">
      <c r="A519" s="10" t="s">
        <v>408</v>
      </c>
      <c r="C519" s="1"/>
    </row>
    <row r="520" spans="1:3" ht="15">
      <c r="A520" s="10" t="s">
        <v>409</v>
      </c>
      <c r="C520" s="1"/>
    </row>
    <row r="521" spans="1:3" ht="15">
      <c r="A521" s="10" t="s">
        <v>410</v>
      </c>
      <c r="C521" s="1"/>
    </row>
    <row r="522" spans="1:3" ht="15">
      <c r="A522" s="10" t="s">
        <v>411</v>
      </c>
      <c r="C522" s="1"/>
    </row>
    <row r="523" spans="1:3" ht="15">
      <c r="A523" s="10" t="s">
        <v>72</v>
      </c>
      <c r="C523" s="1"/>
    </row>
    <row r="524" spans="1:3" ht="15">
      <c r="A524" s="10" t="s">
        <v>412</v>
      </c>
      <c r="C524" s="1"/>
    </row>
    <row r="525" spans="1:3" ht="15">
      <c r="A525" s="10" t="s">
        <v>409</v>
      </c>
      <c r="C525" s="1"/>
    </row>
    <row r="526" spans="1:3" ht="15">
      <c r="A526" s="10" t="s">
        <v>409</v>
      </c>
      <c r="C526" s="1"/>
    </row>
    <row r="527" spans="1:3" ht="15">
      <c r="A527" s="10" t="s">
        <v>408</v>
      </c>
      <c r="C527" s="1"/>
    </row>
    <row r="528" spans="1:3" ht="15">
      <c r="C528" s="1"/>
    </row>
    <row r="529" spans="1:3" ht="15">
      <c r="A529" s="10" t="s">
        <v>413</v>
      </c>
      <c r="C529" s="1"/>
    </row>
    <row r="530" spans="1:3" ht="15">
      <c r="A530" s="10" t="s">
        <v>414</v>
      </c>
      <c r="C530" s="1"/>
    </row>
    <row r="531" spans="1:3" ht="15">
      <c r="A531" s="10" t="s">
        <v>415</v>
      </c>
      <c r="C531" s="1"/>
    </row>
    <row r="532" spans="1:3" ht="15">
      <c r="A532" s="10" t="s">
        <v>416</v>
      </c>
      <c r="C532" s="1"/>
    </row>
    <row r="533" spans="1:3" ht="15">
      <c r="A533" s="10" t="s">
        <v>417</v>
      </c>
      <c r="C533" s="1"/>
    </row>
    <row r="534" spans="1:3" ht="15">
      <c r="A534" s="10" t="s">
        <v>72</v>
      </c>
      <c r="C534" s="1"/>
    </row>
    <row r="535" spans="1:3" ht="15">
      <c r="A535" s="10" t="s">
        <v>418</v>
      </c>
      <c r="C535" s="1"/>
    </row>
    <row r="536" spans="1:3" ht="15">
      <c r="A536" s="10" t="s">
        <v>415</v>
      </c>
      <c r="C536" s="1"/>
    </row>
    <row r="537" spans="1:3" ht="15">
      <c r="A537" s="10" t="s">
        <v>415</v>
      </c>
      <c r="C537" s="1"/>
    </row>
    <row r="538" spans="1:3" ht="15">
      <c r="A538" s="10" t="s">
        <v>414</v>
      </c>
      <c r="C538" s="1"/>
    </row>
    <row r="539" spans="1:3" ht="15">
      <c r="C539" s="1"/>
    </row>
    <row r="540" spans="1:3" ht="15">
      <c r="A540" s="10" t="s">
        <v>419</v>
      </c>
      <c r="C540" s="1"/>
    </row>
    <row r="541" spans="1:3" ht="15">
      <c r="A541" s="10" t="s">
        <v>420</v>
      </c>
      <c r="C541" s="1"/>
    </row>
    <row r="542" spans="1:3" ht="15">
      <c r="A542" s="10" t="s">
        <v>421</v>
      </c>
      <c r="C542" s="1"/>
    </row>
    <row r="543" spans="1:3" ht="15">
      <c r="A543" s="10" t="s">
        <v>422</v>
      </c>
      <c r="C543" s="1"/>
    </row>
    <row r="544" spans="1:3" ht="15">
      <c r="A544" s="10" t="s">
        <v>423</v>
      </c>
      <c r="C544" s="1"/>
    </row>
    <row r="545" spans="1:3" ht="15">
      <c r="A545" s="10" t="s">
        <v>72</v>
      </c>
      <c r="C545" s="1"/>
    </row>
    <row r="546" spans="1:3" ht="15">
      <c r="A546" s="10" t="s">
        <v>424</v>
      </c>
      <c r="C546" s="1"/>
    </row>
    <row r="547" spans="1:3" ht="15">
      <c r="A547" s="10" t="s">
        <v>421</v>
      </c>
      <c r="C547" s="1"/>
    </row>
    <row r="548" spans="1:3" ht="15">
      <c r="A548" s="10" t="s">
        <v>421</v>
      </c>
      <c r="C548" s="1"/>
    </row>
    <row r="549" spans="1:3" ht="15">
      <c r="A549" s="10" t="s">
        <v>420</v>
      </c>
      <c r="C549" s="1"/>
    </row>
    <row r="550" spans="1:3" ht="15">
      <c r="C550" s="1"/>
    </row>
    <row r="551" spans="1:3" ht="15">
      <c r="A551" s="10" t="s">
        <v>425</v>
      </c>
      <c r="C551" s="1"/>
    </row>
    <row r="552" spans="1:3" ht="15">
      <c r="A552" s="10" t="s">
        <v>426</v>
      </c>
      <c r="C552" s="1"/>
    </row>
    <row r="553" spans="1:3" ht="15">
      <c r="A553" s="10" t="s">
        <v>427</v>
      </c>
      <c r="C553" s="1"/>
    </row>
    <row r="554" spans="1:3" ht="15">
      <c r="A554" s="10" t="s">
        <v>428</v>
      </c>
      <c r="C554" s="1"/>
    </row>
    <row r="555" spans="1:3" ht="15">
      <c r="A555" s="10" t="s">
        <v>429</v>
      </c>
      <c r="C555" s="1"/>
    </row>
    <row r="556" spans="1:3" ht="15">
      <c r="A556" s="10" t="s">
        <v>72</v>
      </c>
      <c r="C556" s="1"/>
    </row>
    <row r="557" spans="1:3" ht="15">
      <c r="A557" s="10" t="s">
        <v>430</v>
      </c>
      <c r="C557" s="1"/>
    </row>
    <row r="558" spans="1:3" ht="15">
      <c r="A558" s="10" t="s">
        <v>427</v>
      </c>
      <c r="C558" s="1"/>
    </row>
    <row r="559" spans="1:3" ht="15">
      <c r="A559" s="10" t="s">
        <v>427</v>
      </c>
      <c r="C559" s="1"/>
    </row>
    <row r="560" spans="1:3" ht="15">
      <c r="A560" s="10" t="s">
        <v>426</v>
      </c>
      <c r="C560" s="1"/>
    </row>
    <row r="561" spans="1:3" ht="15">
      <c r="C561" s="1"/>
    </row>
    <row r="562" spans="1:3" ht="15">
      <c r="A562" s="10" t="s">
        <v>92</v>
      </c>
      <c r="C562" s="1"/>
    </row>
    <row r="563" spans="1:3" ht="15">
      <c r="A563" s="10" t="s">
        <v>93</v>
      </c>
      <c r="C563" s="1"/>
    </row>
    <row r="564" spans="1:3" ht="15">
      <c r="A564" s="10" t="s">
        <v>94</v>
      </c>
      <c r="C564" s="1"/>
    </row>
    <row r="565" spans="1:3" ht="15">
      <c r="A565" s="10" t="s">
        <v>26</v>
      </c>
      <c r="C565" s="1"/>
    </row>
    <row r="566" spans="1:3" ht="15">
      <c r="A566" s="10" t="s">
        <v>23</v>
      </c>
      <c r="C566" s="1"/>
    </row>
    <row r="567" spans="1:3" ht="15">
      <c r="A567" s="10" t="s">
        <v>24</v>
      </c>
      <c r="C567" s="1"/>
    </row>
    <row r="568" spans="1:3" ht="15">
      <c r="A568" s="10" t="s">
        <v>95</v>
      </c>
      <c r="C568" s="1"/>
    </row>
    <row r="569" spans="1:3" ht="15">
      <c r="C569" s="1"/>
    </row>
    <row r="570" spans="1:3" ht="15">
      <c r="A570" s="10" t="s">
        <v>45</v>
      </c>
      <c r="C570" s="1"/>
    </row>
    <row r="571" spans="1:3" ht="15">
      <c r="A571" s="10" t="s">
        <v>23</v>
      </c>
      <c r="C571" s="1"/>
    </row>
    <row r="572" spans="1:3" ht="15">
      <c r="A572" s="10" t="s">
        <v>24</v>
      </c>
      <c r="C572" s="1"/>
    </row>
    <row r="573" spans="1:3" ht="15">
      <c r="C573" s="1"/>
    </row>
    <row r="574" spans="1:3" ht="15">
      <c r="A574" s="10" t="s">
        <v>96</v>
      </c>
      <c r="C574" s="1"/>
    </row>
    <row r="575" spans="1:3" ht="15">
      <c r="A575" s="10" t="s">
        <v>97</v>
      </c>
      <c r="C575" s="1"/>
    </row>
    <row r="576" spans="1:3" ht="15">
      <c r="A576" s="10" t="s">
        <v>98</v>
      </c>
      <c r="C576" s="1"/>
    </row>
    <row r="577" spans="1:3" ht="15">
      <c r="A577" s="10" t="s">
        <v>431</v>
      </c>
      <c r="C577" s="1"/>
    </row>
    <row r="578" spans="1:3" ht="15">
      <c r="A578" s="10" t="s">
        <v>432</v>
      </c>
      <c r="C578" s="1"/>
    </row>
    <row r="579" spans="1:3" ht="15">
      <c r="C579" s="1"/>
    </row>
    <row r="580" spans="1:3" ht="15">
      <c r="A580" s="10" t="s">
        <v>79</v>
      </c>
      <c r="C580" s="1"/>
    </row>
    <row r="581" spans="1:3" ht="15">
      <c r="A581" s="10" t="s">
        <v>433</v>
      </c>
      <c r="C581" s="1"/>
    </row>
    <row r="582" spans="1:3" ht="15">
      <c r="C582" s="1"/>
    </row>
    <row r="583" spans="1:3" ht="15">
      <c r="A583" s="10" t="s">
        <v>80</v>
      </c>
      <c r="C583" s="1"/>
    </row>
    <row r="584" spans="1:3" ht="15">
      <c r="A584" s="10" t="s">
        <v>100</v>
      </c>
      <c r="C584" s="1"/>
    </row>
    <row r="585" spans="1:3" ht="15">
      <c r="A585" s="10" t="s">
        <v>82</v>
      </c>
      <c r="C585" s="1"/>
    </row>
    <row r="586" spans="1:3" ht="15">
      <c r="A586" s="10" t="s">
        <v>434</v>
      </c>
      <c r="C586" s="1"/>
    </row>
    <row r="587" spans="1:3" ht="15">
      <c r="C587" s="1"/>
    </row>
    <row r="588" spans="1:3" ht="15">
      <c r="A588" s="10" t="s">
        <v>83</v>
      </c>
      <c r="C588" s="1"/>
    </row>
    <row r="589" spans="1:3" ht="15">
      <c r="A589" s="10" t="s">
        <v>84</v>
      </c>
      <c r="C589" s="1"/>
    </row>
    <row r="590" spans="1:3" ht="15">
      <c r="A590" s="10" t="s">
        <v>431</v>
      </c>
      <c r="C590" s="1"/>
    </row>
    <row r="591" spans="1:3" ht="15">
      <c r="A591" s="10" t="s">
        <v>101</v>
      </c>
      <c r="C591" s="1"/>
    </row>
    <row r="592" spans="1:3" ht="15">
      <c r="C592" s="1"/>
    </row>
    <row r="593" spans="1:3" ht="15">
      <c r="A593" s="10" t="s">
        <v>102</v>
      </c>
      <c r="C593" s="1"/>
    </row>
    <row r="594" spans="1:3" ht="15">
      <c r="A594" s="10" t="s">
        <v>103</v>
      </c>
      <c r="C594" s="1"/>
    </row>
    <row r="595" spans="1:3" ht="15">
      <c r="A595" s="10" t="s">
        <v>87</v>
      </c>
      <c r="C595" s="1"/>
    </row>
    <row r="596" spans="1:3" ht="15">
      <c r="A596" s="10" t="s">
        <v>104</v>
      </c>
      <c r="C596" s="1"/>
    </row>
    <row r="597" spans="1:3" ht="15">
      <c r="A597" s="10" t="s">
        <v>89</v>
      </c>
      <c r="C597" s="1"/>
    </row>
    <row r="598" spans="1:3" ht="15">
      <c r="A598" s="10" t="s">
        <v>143</v>
      </c>
      <c r="C598" s="1"/>
    </row>
    <row r="599" spans="1:3" ht="15">
      <c r="A599" s="10" t="s">
        <v>144</v>
      </c>
      <c r="C599" s="1"/>
    </row>
    <row r="600" spans="1:3" ht="15">
      <c r="A600" s="10" t="s">
        <v>145</v>
      </c>
      <c r="C600" s="1"/>
    </row>
    <row r="601" spans="1:3" ht="15">
      <c r="A601" s="10" t="s">
        <v>146</v>
      </c>
      <c r="C601" s="1"/>
    </row>
    <row r="602" spans="1:3" ht="15">
      <c r="A602" s="10" t="s">
        <v>147</v>
      </c>
      <c r="C602" s="1"/>
    </row>
    <row r="603" spans="1:3" ht="15">
      <c r="A603" s="10" t="s">
        <v>72</v>
      </c>
      <c r="C603" s="1"/>
    </row>
    <row r="604" spans="1:3" ht="15">
      <c r="A604" s="10" t="s">
        <v>148</v>
      </c>
      <c r="C604" s="1"/>
    </row>
    <row r="605" spans="1:3" ht="15">
      <c r="A605" s="10" t="s">
        <v>145</v>
      </c>
      <c r="C605" s="1"/>
    </row>
    <row r="606" spans="1:3" ht="15">
      <c r="A606" s="10" t="s">
        <v>145</v>
      </c>
      <c r="C606" s="1"/>
    </row>
    <row r="607" spans="1:3" ht="15">
      <c r="A607" s="10" t="s">
        <v>144</v>
      </c>
      <c r="C607" s="1"/>
    </row>
    <row r="608" spans="1:3" ht="15">
      <c r="C608" s="1"/>
    </row>
    <row r="609" spans="1:3" ht="15">
      <c r="A609" s="10" t="s">
        <v>149</v>
      </c>
      <c r="C609" s="1"/>
    </row>
    <row r="610" spans="1:3" ht="15">
      <c r="A610" s="10" t="s">
        <v>150</v>
      </c>
      <c r="C610" s="1"/>
    </row>
    <row r="611" spans="1:3" ht="15">
      <c r="A611" s="10" t="s">
        <v>151</v>
      </c>
      <c r="C611" s="1"/>
    </row>
    <row r="612" spans="1:3" ht="15">
      <c r="A612" s="10" t="s">
        <v>152</v>
      </c>
      <c r="C612" s="1"/>
    </row>
    <row r="613" spans="1:3" ht="15">
      <c r="A613" s="10" t="s">
        <v>153</v>
      </c>
      <c r="C613" s="1"/>
    </row>
    <row r="614" spans="1:3" ht="15">
      <c r="A614" s="10" t="s">
        <v>72</v>
      </c>
      <c r="C614" s="1"/>
    </row>
    <row r="615" spans="1:3" ht="15">
      <c r="A615" s="10" t="s">
        <v>154</v>
      </c>
      <c r="C615" s="1"/>
    </row>
    <row r="616" spans="1:3" ht="15">
      <c r="A616" s="10" t="s">
        <v>151</v>
      </c>
      <c r="C616" s="1"/>
    </row>
    <row r="617" spans="1:3" ht="15">
      <c r="A617" s="10" t="s">
        <v>151</v>
      </c>
      <c r="C617" s="1"/>
    </row>
    <row r="618" spans="1:3" ht="15">
      <c r="A618" s="10" t="s">
        <v>150</v>
      </c>
      <c r="C618" s="1"/>
    </row>
    <row r="619" spans="1:3" ht="15">
      <c r="C619" s="1"/>
    </row>
    <row r="620" spans="1:3" ht="15">
      <c r="A620" s="10" t="s">
        <v>155</v>
      </c>
      <c r="C620" s="1"/>
    </row>
    <row r="621" spans="1:3" ht="15">
      <c r="A621" s="10" t="s">
        <v>156</v>
      </c>
      <c r="C621" s="1"/>
    </row>
    <row r="622" spans="1:3" ht="15">
      <c r="A622" s="10" t="s">
        <v>157</v>
      </c>
      <c r="C622" s="1"/>
    </row>
    <row r="623" spans="1:3" ht="15">
      <c r="A623" s="10" t="s">
        <v>158</v>
      </c>
      <c r="C623" s="1"/>
    </row>
    <row r="624" spans="1:3" ht="15">
      <c r="A624" s="10" t="s">
        <v>159</v>
      </c>
      <c r="C624" s="1"/>
    </row>
    <row r="625" spans="1:3" ht="15">
      <c r="A625" s="10" t="s">
        <v>72</v>
      </c>
      <c r="C625" s="1"/>
    </row>
    <row r="626" spans="1:3" ht="15">
      <c r="A626" s="10" t="s">
        <v>160</v>
      </c>
      <c r="C626" s="1"/>
    </row>
    <row r="627" spans="1:3" ht="15">
      <c r="A627" s="10" t="s">
        <v>157</v>
      </c>
      <c r="C627" s="1"/>
    </row>
    <row r="628" spans="1:3" ht="15">
      <c r="A628" s="10" t="s">
        <v>157</v>
      </c>
      <c r="C628" s="1"/>
    </row>
    <row r="629" spans="1:3" ht="15">
      <c r="A629" s="10" t="s">
        <v>156</v>
      </c>
      <c r="C629" s="1"/>
    </row>
    <row r="630" spans="1:3" ht="15">
      <c r="C630" s="1"/>
    </row>
    <row r="631" spans="1:3" ht="15">
      <c r="A631" s="10" t="s">
        <v>161</v>
      </c>
      <c r="C631" s="1"/>
    </row>
    <row r="632" spans="1:3" ht="15">
      <c r="A632" s="10" t="s">
        <v>162</v>
      </c>
      <c r="C632" s="1"/>
    </row>
    <row r="633" spans="1:3" ht="15">
      <c r="A633" s="10" t="s">
        <v>163</v>
      </c>
      <c r="C633" s="1"/>
    </row>
    <row r="634" spans="1:3" ht="15">
      <c r="A634" s="10" t="s">
        <v>164</v>
      </c>
      <c r="C634" s="1"/>
    </row>
    <row r="635" spans="1:3" ht="15">
      <c r="A635" s="10" t="s">
        <v>165</v>
      </c>
      <c r="C635" s="1"/>
    </row>
    <row r="636" spans="1:3" ht="15">
      <c r="A636" s="10" t="s">
        <v>72</v>
      </c>
      <c r="C636" s="1"/>
    </row>
    <row r="637" spans="1:3" ht="15">
      <c r="A637" s="10" t="s">
        <v>166</v>
      </c>
      <c r="C637" s="1"/>
    </row>
    <row r="638" spans="1:3" ht="15">
      <c r="A638" s="10" t="s">
        <v>163</v>
      </c>
      <c r="C638" s="1"/>
    </row>
    <row r="639" spans="1:3" ht="15">
      <c r="A639" s="10" t="s">
        <v>163</v>
      </c>
      <c r="C639" s="1"/>
    </row>
    <row r="640" spans="1:3" ht="15">
      <c r="A640" s="10" t="s">
        <v>162</v>
      </c>
      <c r="C640" s="1"/>
    </row>
    <row r="641" spans="1:3" ht="15">
      <c r="C641" s="1"/>
    </row>
    <row r="642" spans="1:3" ht="15">
      <c r="A642" s="10" t="s">
        <v>167</v>
      </c>
      <c r="C642" s="1"/>
    </row>
    <row r="643" spans="1:3" ht="15">
      <c r="A643" s="10" t="s">
        <v>168</v>
      </c>
      <c r="C643" s="1"/>
    </row>
    <row r="644" spans="1:3" ht="15">
      <c r="A644" s="10" t="s">
        <v>169</v>
      </c>
      <c r="C644" s="1"/>
    </row>
    <row r="645" spans="1:3" ht="15">
      <c r="A645" s="10" t="s">
        <v>170</v>
      </c>
      <c r="C645" s="1"/>
    </row>
    <row r="646" spans="1:3" ht="15">
      <c r="A646" s="10" t="s">
        <v>171</v>
      </c>
      <c r="C646" s="1"/>
    </row>
    <row r="647" spans="1:3" ht="15">
      <c r="A647" s="10" t="s">
        <v>72</v>
      </c>
      <c r="C647" s="1"/>
    </row>
    <row r="648" spans="1:3" ht="15">
      <c r="A648" s="10" t="s">
        <v>172</v>
      </c>
      <c r="C648" s="1"/>
    </row>
    <row r="649" spans="1:3" ht="15">
      <c r="A649" s="10" t="s">
        <v>169</v>
      </c>
      <c r="C649" s="1"/>
    </row>
    <row r="650" spans="1:3" ht="15">
      <c r="A650" s="10" t="s">
        <v>169</v>
      </c>
      <c r="C650" s="1"/>
    </row>
    <row r="651" spans="1:3" ht="15">
      <c r="A651" s="10" t="s">
        <v>168</v>
      </c>
      <c r="C651" s="1"/>
    </row>
    <row r="652" spans="1:3" ht="15">
      <c r="C652" s="1"/>
    </row>
    <row r="653" spans="1:3" ht="15">
      <c r="A653" s="10" t="s">
        <v>173</v>
      </c>
      <c r="C653" s="1"/>
    </row>
    <row r="654" spans="1:3" ht="15">
      <c r="A654" s="10" t="s">
        <v>174</v>
      </c>
      <c r="C654" s="1"/>
    </row>
    <row r="655" spans="1:3" ht="15">
      <c r="A655" s="10" t="s">
        <v>175</v>
      </c>
      <c r="C655" s="1"/>
    </row>
    <row r="656" spans="1:3" ht="15">
      <c r="A656" s="10" t="s">
        <v>176</v>
      </c>
      <c r="C656" s="1"/>
    </row>
    <row r="657" spans="1:3" ht="15">
      <c r="A657" s="10" t="s">
        <v>177</v>
      </c>
      <c r="C657" s="1"/>
    </row>
    <row r="658" spans="1:3" ht="15">
      <c r="A658" s="10" t="s">
        <v>72</v>
      </c>
      <c r="C658" s="1"/>
    </row>
    <row r="659" spans="1:3" ht="15">
      <c r="A659" s="10" t="s">
        <v>178</v>
      </c>
      <c r="C659" s="1"/>
    </row>
    <row r="660" spans="1:3" ht="15">
      <c r="A660" s="10" t="s">
        <v>175</v>
      </c>
      <c r="C660" s="1"/>
    </row>
    <row r="661" spans="1:3" ht="15">
      <c r="A661" s="10" t="s">
        <v>175</v>
      </c>
      <c r="C661" s="1"/>
    </row>
    <row r="662" spans="1:3" ht="15">
      <c r="A662" s="10" t="s">
        <v>174</v>
      </c>
      <c r="C662" s="1"/>
    </row>
    <row r="663" spans="1:3" ht="15">
      <c r="C663" s="1"/>
    </row>
    <row r="664" spans="1:3" ht="15">
      <c r="A664" s="10" t="s">
        <v>179</v>
      </c>
      <c r="C664" s="1"/>
    </row>
    <row r="665" spans="1:3" ht="15">
      <c r="A665" s="10" t="s">
        <v>180</v>
      </c>
      <c r="C665" s="1"/>
    </row>
    <row r="666" spans="1:3" ht="15">
      <c r="A666" s="10" t="s">
        <v>181</v>
      </c>
      <c r="C666" s="1"/>
    </row>
    <row r="667" spans="1:3" ht="15">
      <c r="A667" s="10" t="s">
        <v>182</v>
      </c>
      <c r="C667" s="1"/>
    </row>
    <row r="668" spans="1:3" ht="15">
      <c r="A668" s="10" t="s">
        <v>183</v>
      </c>
      <c r="C668" s="1"/>
    </row>
    <row r="669" spans="1:3" ht="15">
      <c r="A669" s="10" t="s">
        <v>72</v>
      </c>
      <c r="C669" s="1"/>
    </row>
    <row r="670" spans="1:3" ht="15">
      <c r="A670" s="10" t="s">
        <v>184</v>
      </c>
      <c r="C670" s="1"/>
    </row>
    <row r="671" spans="1:3" ht="15">
      <c r="A671" s="10" t="s">
        <v>181</v>
      </c>
      <c r="C671" s="1"/>
    </row>
    <row r="672" spans="1:3" ht="15">
      <c r="A672" s="10" t="s">
        <v>181</v>
      </c>
      <c r="C672" s="1"/>
    </row>
    <row r="673" spans="1:3" ht="15">
      <c r="A673" s="10" t="s">
        <v>180</v>
      </c>
      <c r="C673" s="1"/>
    </row>
    <row r="674" spans="1:3" ht="15">
      <c r="C674" s="1"/>
    </row>
    <row r="675" spans="1:3" ht="15">
      <c r="A675" s="10" t="s">
        <v>185</v>
      </c>
      <c r="C675" s="1"/>
    </row>
    <row r="676" spans="1:3" ht="15">
      <c r="A676" s="10" t="s">
        <v>186</v>
      </c>
      <c r="C676" s="1"/>
    </row>
    <row r="677" spans="1:3" ht="15">
      <c r="A677" s="10" t="s">
        <v>187</v>
      </c>
      <c r="C677" s="1"/>
    </row>
    <row r="678" spans="1:3" ht="15">
      <c r="A678" s="10" t="s">
        <v>188</v>
      </c>
      <c r="C678" s="1"/>
    </row>
    <row r="679" spans="1:3" ht="15">
      <c r="A679" s="10" t="s">
        <v>189</v>
      </c>
      <c r="C679" s="1"/>
    </row>
    <row r="680" spans="1:3" ht="15">
      <c r="A680" s="10" t="s">
        <v>72</v>
      </c>
      <c r="C680" s="1"/>
    </row>
    <row r="681" spans="1:3" ht="15">
      <c r="A681" s="10" t="s">
        <v>190</v>
      </c>
      <c r="C681" s="1"/>
    </row>
    <row r="682" spans="1:3" ht="15">
      <c r="A682" s="10" t="s">
        <v>187</v>
      </c>
      <c r="C682" s="1"/>
    </row>
    <row r="683" spans="1:3" ht="15">
      <c r="A683" s="10" t="s">
        <v>187</v>
      </c>
      <c r="C683" s="1"/>
    </row>
    <row r="684" spans="1:3" ht="15">
      <c r="A684" s="10" t="s">
        <v>186</v>
      </c>
      <c r="C684" s="1"/>
    </row>
    <row r="685" spans="1:3" ht="15">
      <c r="C685" s="1"/>
    </row>
    <row r="686" spans="1:3" ht="15">
      <c r="A686" s="10" t="s">
        <v>191</v>
      </c>
      <c r="C686" s="1"/>
    </row>
    <row r="687" spans="1:3" ht="15">
      <c r="A687" s="10" t="s">
        <v>192</v>
      </c>
      <c r="C687" s="1"/>
    </row>
    <row r="688" spans="1:3" ht="15">
      <c r="A688" s="10" t="s">
        <v>193</v>
      </c>
      <c r="C688" s="1"/>
    </row>
    <row r="689" spans="1:3" ht="15">
      <c r="A689" s="10" t="s">
        <v>194</v>
      </c>
      <c r="C689" s="1"/>
    </row>
    <row r="690" spans="1:3" ht="15">
      <c r="A690" s="10" t="s">
        <v>195</v>
      </c>
      <c r="C690" s="1"/>
    </row>
    <row r="691" spans="1:3" ht="15">
      <c r="A691" s="10" t="s">
        <v>72</v>
      </c>
      <c r="C691" s="1"/>
    </row>
    <row r="692" spans="1:3" ht="15">
      <c r="A692" s="10" t="s">
        <v>196</v>
      </c>
      <c r="C692" s="1"/>
    </row>
    <row r="693" spans="1:3" ht="15">
      <c r="A693" s="10" t="s">
        <v>193</v>
      </c>
      <c r="C693" s="1"/>
    </row>
    <row r="694" spans="1:3" ht="15">
      <c r="A694" s="10" t="s">
        <v>193</v>
      </c>
      <c r="C694" s="1"/>
    </row>
    <row r="695" spans="1:3" ht="15">
      <c r="A695" s="10" t="s">
        <v>192</v>
      </c>
      <c r="C695" s="1"/>
    </row>
    <row r="696" spans="1:3" ht="15">
      <c r="C696" s="1"/>
    </row>
    <row r="697" spans="1:3" ht="15">
      <c r="A697" s="10" t="s">
        <v>197</v>
      </c>
      <c r="C697" s="1"/>
    </row>
    <row r="698" spans="1:3" ht="15">
      <c r="A698" s="10" t="s">
        <v>198</v>
      </c>
      <c r="C698" s="1"/>
    </row>
    <row r="699" spans="1:3" ht="15">
      <c r="A699" s="10" t="s">
        <v>199</v>
      </c>
      <c r="C699" s="1"/>
    </row>
    <row r="700" spans="1:3" ht="15">
      <c r="A700" s="10" t="s">
        <v>200</v>
      </c>
      <c r="C700" s="1"/>
    </row>
    <row r="701" spans="1:3" ht="15">
      <c r="A701" s="10" t="s">
        <v>201</v>
      </c>
      <c r="C701" s="1"/>
    </row>
    <row r="702" spans="1:3" ht="15">
      <c r="A702" s="10" t="s">
        <v>72</v>
      </c>
      <c r="C702" s="1"/>
    </row>
    <row r="703" spans="1:3" ht="15">
      <c r="A703" s="10" t="s">
        <v>202</v>
      </c>
      <c r="C703" s="1"/>
    </row>
    <row r="704" spans="1:3" ht="15">
      <c r="A704" s="10" t="s">
        <v>199</v>
      </c>
      <c r="C704" s="1"/>
    </row>
    <row r="705" spans="1:3" ht="15">
      <c r="A705" s="10" t="s">
        <v>199</v>
      </c>
      <c r="C705" s="1"/>
    </row>
    <row r="706" spans="1:3" ht="15">
      <c r="A706" s="10" t="s">
        <v>198</v>
      </c>
      <c r="C706" s="1"/>
    </row>
    <row r="707" spans="1:3" ht="15">
      <c r="C707" s="1"/>
    </row>
    <row r="708" spans="1:3" ht="15">
      <c r="A708" s="10" t="s">
        <v>203</v>
      </c>
      <c r="C708" s="1"/>
    </row>
    <row r="709" spans="1:3" ht="15">
      <c r="A709" s="10" t="s">
        <v>204</v>
      </c>
      <c r="C709" s="1"/>
    </row>
    <row r="710" spans="1:3" ht="15">
      <c r="A710" s="10" t="s">
        <v>205</v>
      </c>
      <c r="C710" s="1"/>
    </row>
    <row r="711" spans="1:3" ht="15">
      <c r="A711" s="10" t="s">
        <v>206</v>
      </c>
      <c r="C711" s="1"/>
    </row>
    <row r="712" spans="1:3" ht="15">
      <c r="A712" s="10" t="s">
        <v>207</v>
      </c>
      <c r="C712" s="1"/>
    </row>
    <row r="713" spans="1:3" ht="15">
      <c r="A713" s="10" t="s">
        <v>72</v>
      </c>
      <c r="C713" s="1"/>
    </row>
    <row r="714" spans="1:3" ht="15">
      <c r="A714" s="10" t="s">
        <v>208</v>
      </c>
      <c r="C714" s="1"/>
    </row>
    <row r="715" spans="1:3" ht="15">
      <c r="A715" s="10" t="s">
        <v>205</v>
      </c>
      <c r="C715" s="1"/>
    </row>
    <row r="716" spans="1:3" ht="15">
      <c r="A716" s="10" t="s">
        <v>205</v>
      </c>
      <c r="C716" s="1"/>
    </row>
    <row r="717" spans="1:3" ht="15">
      <c r="A717" s="10" t="s">
        <v>204</v>
      </c>
      <c r="C717" s="1"/>
    </row>
    <row r="718" spans="1:3" ht="15">
      <c r="C718" s="1"/>
    </row>
    <row r="719" spans="1:3" ht="15">
      <c r="A719" s="10" t="s">
        <v>209</v>
      </c>
      <c r="C719" s="1"/>
    </row>
    <row r="720" spans="1:3" ht="15">
      <c r="A720" s="10" t="s">
        <v>210</v>
      </c>
      <c r="C720" s="1"/>
    </row>
    <row r="721" spans="1:3" ht="15">
      <c r="A721" s="10" t="s">
        <v>211</v>
      </c>
      <c r="C721" s="1"/>
    </row>
    <row r="722" spans="1:3" ht="15">
      <c r="A722" s="10" t="s">
        <v>212</v>
      </c>
      <c r="C722" s="1"/>
    </row>
    <row r="723" spans="1:3" ht="15">
      <c r="A723" s="10" t="s">
        <v>213</v>
      </c>
      <c r="C723" s="1"/>
    </row>
    <row r="724" spans="1:3" ht="15">
      <c r="A724" s="10" t="s">
        <v>72</v>
      </c>
      <c r="C724" s="1"/>
    </row>
    <row r="725" spans="1:3" ht="15">
      <c r="A725" s="10" t="s">
        <v>214</v>
      </c>
      <c r="C725" s="1"/>
    </row>
    <row r="726" spans="1:3" ht="15">
      <c r="A726" s="10" t="s">
        <v>211</v>
      </c>
      <c r="C726" s="1"/>
    </row>
    <row r="727" spans="1:3" ht="15">
      <c r="A727" s="10" t="s">
        <v>211</v>
      </c>
      <c r="C727" s="1"/>
    </row>
    <row r="728" spans="1:3" ht="15">
      <c r="A728" s="10" t="s">
        <v>210</v>
      </c>
      <c r="C728" s="1"/>
    </row>
    <row r="729" spans="1:3" ht="15">
      <c r="C729" s="1"/>
    </row>
    <row r="730" spans="1:3" ht="15">
      <c r="A730" s="10" t="s">
        <v>215</v>
      </c>
      <c r="C730" s="1"/>
    </row>
    <row r="731" spans="1:3" ht="15">
      <c r="A731" s="10" t="s">
        <v>216</v>
      </c>
      <c r="C731" s="1"/>
    </row>
    <row r="732" spans="1:3" ht="15">
      <c r="A732" s="10" t="s">
        <v>217</v>
      </c>
      <c r="C732" s="1"/>
    </row>
    <row r="733" spans="1:3" ht="15">
      <c r="A733" s="10" t="s">
        <v>218</v>
      </c>
      <c r="C733" s="1"/>
    </row>
    <row r="734" spans="1:3" ht="15">
      <c r="A734" s="10" t="s">
        <v>219</v>
      </c>
      <c r="C734" s="1"/>
    </row>
    <row r="735" spans="1:3" ht="15">
      <c r="A735" s="10" t="s">
        <v>72</v>
      </c>
      <c r="C735" s="1"/>
    </row>
    <row r="736" spans="1:3" ht="15">
      <c r="A736" s="10" t="s">
        <v>220</v>
      </c>
      <c r="C736" s="1"/>
    </row>
    <row r="737" spans="1:3" ht="15">
      <c r="A737" s="10" t="s">
        <v>217</v>
      </c>
      <c r="C737" s="1"/>
    </row>
    <row r="738" spans="1:3" ht="15">
      <c r="A738" s="10" t="s">
        <v>217</v>
      </c>
      <c r="C738" s="1"/>
    </row>
    <row r="739" spans="1:3" ht="15">
      <c r="A739" s="10" t="s">
        <v>216</v>
      </c>
      <c r="C739" s="1"/>
    </row>
    <row r="740" spans="1:3" ht="15">
      <c r="C740" s="1"/>
    </row>
    <row r="741" spans="1:3" ht="15">
      <c r="A741" s="10" t="s">
        <v>221</v>
      </c>
      <c r="C741" s="1"/>
    </row>
    <row r="742" spans="1:3" ht="15">
      <c r="A742" s="10" t="s">
        <v>222</v>
      </c>
      <c r="C742" s="1"/>
    </row>
    <row r="743" spans="1:3" ht="15">
      <c r="A743" s="10" t="s">
        <v>223</v>
      </c>
      <c r="C743" s="1"/>
    </row>
    <row r="744" spans="1:3" ht="15">
      <c r="A744" s="10" t="s">
        <v>224</v>
      </c>
      <c r="C744" s="1"/>
    </row>
    <row r="745" spans="1:3" ht="15">
      <c r="A745" s="10" t="s">
        <v>225</v>
      </c>
      <c r="C745" s="1"/>
    </row>
    <row r="746" spans="1:3" ht="15">
      <c r="A746" s="10" t="s">
        <v>72</v>
      </c>
      <c r="C746" s="1"/>
    </row>
    <row r="747" spans="1:3" ht="15">
      <c r="A747" s="10" t="s">
        <v>226</v>
      </c>
      <c r="C747" s="1"/>
    </row>
    <row r="748" spans="1:3" ht="15">
      <c r="A748" s="10" t="s">
        <v>223</v>
      </c>
      <c r="C748" s="1"/>
    </row>
    <row r="749" spans="1:3" ht="15">
      <c r="A749" s="10" t="s">
        <v>223</v>
      </c>
      <c r="C749" s="1"/>
    </row>
    <row r="750" spans="1:3" ht="15">
      <c r="A750" s="10" t="s">
        <v>222</v>
      </c>
      <c r="C750" s="1"/>
    </row>
    <row r="751" spans="1:3" ht="15">
      <c r="C751" s="1"/>
    </row>
    <row r="752" spans="1:3" ht="15">
      <c r="A752" s="10" t="s">
        <v>227</v>
      </c>
      <c r="C752" s="1"/>
    </row>
    <row r="753" spans="1:3" ht="15">
      <c r="A753" s="10" t="s">
        <v>228</v>
      </c>
      <c r="C753" s="1"/>
    </row>
    <row r="754" spans="1:3" ht="15">
      <c r="A754" s="10" t="s">
        <v>229</v>
      </c>
      <c r="C754" s="1"/>
    </row>
    <row r="755" spans="1:3" ht="15">
      <c r="A755" s="10" t="s">
        <v>230</v>
      </c>
      <c r="C755" s="1"/>
    </row>
    <row r="756" spans="1:3" ht="15">
      <c r="A756" s="10" t="s">
        <v>231</v>
      </c>
      <c r="C756" s="1"/>
    </row>
    <row r="757" spans="1:3" ht="15">
      <c r="A757" s="10" t="s">
        <v>72</v>
      </c>
      <c r="C757" s="1"/>
    </row>
    <row r="758" spans="1:3" ht="15">
      <c r="A758" s="10" t="s">
        <v>232</v>
      </c>
      <c r="C758" s="1"/>
    </row>
    <row r="759" spans="1:3" ht="15">
      <c r="A759" s="10" t="s">
        <v>229</v>
      </c>
      <c r="C759" s="1"/>
    </row>
    <row r="760" spans="1:3" ht="15">
      <c r="A760" s="10" t="s">
        <v>229</v>
      </c>
      <c r="C760" s="1"/>
    </row>
    <row r="761" spans="1:3" ht="15">
      <c r="A761" s="10" t="s">
        <v>228</v>
      </c>
      <c r="C761" s="1"/>
    </row>
    <row r="762" spans="1:3" ht="15">
      <c r="C762" s="1"/>
    </row>
    <row r="763" spans="1:3" ht="15">
      <c r="A763" s="10" t="s">
        <v>233</v>
      </c>
      <c r="C763" s="1"/>
    </row>
    <row r="764" spans="1:3" ht="15">
      <c r="A764" s="10" t="s">
        <v>234</v>
      </c>
      <c r="C764" s="1"/>
    </row>
    <row r="765" spans="1:3" ht="15">
      <c r="A765" s="10" t="s">
        <v>235</v>
      </c>
      <c r="C765" s="1"/>
    </row>
    <row r="766" spans="1:3" ht="15">
      <c r="A766" s="10" t="s">
        <v>236</v>
      </c>
      <c r="C766" s="1"/>
    </row>
    <row r="767" spans="1:3" ht="15">
      <c r="A767" s="10" t="s">
        <v>237</v>
      </c>
      <c r="C767" s="1"/>
    </row>
    <row r="768" spans="1:3" ht="15">
      <c r="A768" s="10" t="s">
        <v>72</v>
      </c>
      <c r="C768" s="1"/>
    </row>
    <row r="769" spans="1:3" ht="15">
      <c r="A769" s="10" t="s">
        <v>238</v>
      </c>
      <c r="C769" s="1"/>
    </row>
    <row r="770" spans="1:3" ht="15">
      <c r="A770" s="10" t="s">
        <v>235</v>
      </c>
      <c r="C770" s="1"/>
    </row>
    <row r="771" spans="1:3" ht="15">
      <c r="A771" s="10" t="s">
        <v>235</v>
      </c>
      <c r="C771" s="1"/>
    </row>
    <row r="772" spans="1:3" ht="15">
      <c r="A772" s="10" t="s">
        <v>234</v>
      </c>
      <c r="C772" s="1"/>
    </row>
    <row r="773" spans="1:3" ht="15">
      <c r="C773" s="1"/>
    </row>
    <row r="774" spans="1:3" ht="15">
      <c r="A774" s="10" t="s">
        <v>239</v>
      </c>
      <c r="C774" s="1"/>
    </row>
    <row r="775" spans="1:3" ht="15">
      <c r="A775" s="10" t="s">
        <v>240</v>
      </c>
      <c r="C775" s="1"/>
    </row>
    <row r="776" spans="1:3" ht="15">
      <c r="A776" s="10" t="s">
        <v>241</v>
      </c>
      <c r="C776" s="1"/>
    </row>
    <row r="777" spans="1:3" ht="15">
      <c r="A777" s="10" t="s">
        <v>242</v>
      </c>
      <c r="C777" s="1"/>
    </row>
    <row r="778" spans="1:3" ht="15">
      <c r="A778" s="10" t="s">
        <v>243</v>
      </c>
      <c r="C778" s="1"/>
    </row>
    <row r="779" spans="1:3" ht="15">
      <c r="A779" s="10" t="s">
        <v>72</v>
      </c>
      <c r="C779" s="1"/>
    </row>
    <row r="780" spans="1:3" ht="15">
      <c r="A780" s="10" t="s">
        <v>244</v>
      </c>
      <c r="C780" s="1"/>
    </row>
    <row r="781" spans="1:3" ht="15">
      <c r="A781" s="10" t="s">
        <v>241</v>
      </c>
      <c r="C781" s="1"/>
    </row>
    <row r="782" spans="1:3" ht="15">
      <c r="A782" s="10" t="s">
        <v>241</v>
      </c>
      <c r="C782" s="1"/>
    </row>
    <row r="783" spans="1:3" ht="15">
      <c r="A783" s="10" t="s">
        <v>240</v>
      </c>
      <c r="C783" s="1"/>
    </row>
    <row r="784" spans="1:3" ht="15">
      <c r="C784" s="1"/>
    </row>
    <row r="785" spans="1:3" ht="15">
      <c r="A785" s="10" t="s">
        <v>245</v>
      </c>
      <c r="C785" s="1"/>
    </row>
    <row r="786" spans="1:3" ht="15">
      <c r="A786" s="10" t="s">
        <v>246</v>
      </c>
      <c r="C786" s="1"/>
    </row>
    <row r="787" spans="1:3" ht="15">
      <c r="A787" s="10" t="s">
        <v>247</v>
      </c>
      <c r="C787" s="1"/>
    </row>
    <row r="788" spans="1:3" ht="15">
      <c r="A788" s="10" t="s">
        <v>248</v>
      </c>
      <c r="C788" s="1"/>
    </row>
    <row r="789" spans="1:3" ht="15">
      <c r="A789" s="10" t="s">
        <v>249</v>
      </c>
      <c r="C789" s="1"/>
    </row>
    <row r="790" spans="1:3" ht="15">
      <c r="A790" s="10" t="s">
        <v>72</v>
      </c>
      <c r="C790" s="1"/>
    </row>
    <row r="791" spans="1:3" ht="15">
      <c r="A791" s="10" t="s">
        <v>250</v>
      </c>
      <c r="C791" s="1"/>
    </row>
    <row r="792" spans="1:3" ht="15">
      <c r="A792" s="10" t="s">
        <v>247</v>
      </c>
      <c r="C792" s="1"/>
    </row>
    <row r="793" spans="1:3" ht="15">
      <c r="A793" s="10" t="s">
        <v>247</v>
      </c>
      <c r="C793" s="1"/>
    </row>
    <row r="794" spans="1:3" ht="15">
      <c r="A794" s="10" t="s">
        <v>246</v>
      </c>
      <c r="C794" s="1"/>
    </row>
    <row r="795" spans="1:3" ht="15">
      <c r="C795" s="1"/>
    </row>
    <row r="796" spans="1:3" ht="15">
      <c r="A796" s="10" t="s">
        <v>251</v>
      </c>
      <c r="C796" s="1"/>
    </row>
    <row r="797" spans="1:3" ht="15">
      <c r="A797" s="10" t="s">
        <v>252</v>
      </c>
      <c r="C797" s="1"/>
    </row>
    <row r="798" spans="1:3" ht="15">
      <c r="A798" s="10" t="s">
        <v>253</v>
      </c>
      <c r="C798" s="1"/>
    </row>
    <row r="799" spans="1:3" ht="15">
      <c r="A799" s="10" t="s">
        <v>254</v>
      </c>
      <c r="C799" s="1"/>
    </row>
    <row r="800" spans="1:3" ht="15">
      <c r="A800" s="10" t="s">
        <v>255</v>
      </c>
      <c r="C800" s="1"/>
    </row>
    <row r="801" spans="1:3" ht="15">
      <c r="A801" s="10" t="s">
        <v>72</v>
      </c>
      <c r="C801" s="1"/>
    </row>
    <row r="802" spans="1:3" ht="15">
      <c r="A802" s="10" t="s">
        <v>256</v>
      </c>
      <c r="C802" s="1"/>
    </row>
    <row r="803" spans="1:3" ht="15">
      <c r="A803" s="10" t="s">
        <v>253</v>
      </c>
      <c r="C803" s="1"/>
    </row>
    <row r="804" spans="1:3" ht="15">
      <c r="A804" s="10" t="s">
        <v>253</v>
      </c>
      <c r="C804" s="1"/>
    </row>
    <row r="805" spans="1:3" ht="15">
      <c r="A805" s="10" t="s">
        <v>252</v>
      </c>
      <c r="C805" s="1"/>
    </row>
    <row r="806" spans="1:3" ht="15">
      <c r="C806" s="1"/>
    </row>
    <row r="807" spans="1:3" ht="15">
      <c r="A807" s="10" t="s">
        <v>257</v>
      </c>
    </row>
    <row r="808" spans="1:3" ht="15">
      <c r="A808" s="10" t="s">
        <v>258</v>
      </c>
    </row>
    <row r="809" spans="1:3" ht="15">
      <c r="A809" s="10" t="s">
        <v>259</v>
      </c>
    </row>
    <row r="810" spans="1:3" ht="15">
      <c r="A810" s="10" t="s">
        <v>260</v>
      </c>
    </row>
    <row r="811" spans="1:3" ht="15">
      <c r="A811" s="10" t="s">
        <v>261</v>
      </c>
    </row>
    <row r="812" spans="1:3" ht="15">
      <c r="A812" s="10" t="s">
        <v>72</v>
      </c>
    </row>
    <row r="813" spans="1:3" ht="15">
      <c r="A813" s="10" t="s">
        <v>262</v>
      </c>
    </row>
    <row r="814" spans="1:3" ht="15">
      <c r="A814" s="10" t="s">
        <v>259</v>
      </c>
    </row>
    <row r="815" spans="1:3" ht="15">
      <c r="A815" s="10" t="s">
        <v>259</v>
      </c>
    </row>
    <row r="816" spans="1:3" ht="15">
      <c r="A816" s="10" t="s">
        <v>258</v>
      </c>
    </row>
    <row r="817" spans="1:1" ht="15"/>
    <row r="818" spans="1:1" ht="15">
      <c r="A818" s="10" t="s">
        <v>263</v>
      </c>
    </row>
    <row r="819" spans="1:1" ht="15">
      <c r="A819" s="10" t="s">
        <v>264</v>
      </c>
    </row>
    <row r="820" spans="1:1" ht="15">
      <c r="A820" s="10" t="s">
        <v>265</v>
      </c>
    </row>
    <row r="821" spans="1:1" ht="15">
      <c r="A821" s="10" t="s">
        <v>266</v>
      </c>
    </row>
    <row r="822" spans="1:1" ht="15">
      <c r="A822" s="10" t="s">
        <v>267</v>
      </c>
    </row>
    <row r="823" spans="1:1" ht="15">
      <c r="A823" s="10" t="s">
        <v>72</v>
      </c>
    </row>
    <row r="824" spans="1:1" ht="15">
      <c r="A824" s="10" t="s">
        <v>268</v>
      </c>
    </row>
    <row r="825" spans="1:1" ht="15">
      <c r="A825" s="10" t="s">
        <v>265</v>
      </c>
    </row>
    <row r="826" spans="1:1" ht="15">
      <c r="A826" s="10" t="s">
        <v>265</v>
      </c>
    </row>
    <row r="827" spans="1:1" ht="15">
      <c r="A827" s="10" t="s">
        <v>264</v>
      </c>
    </row>
    <row r="828" spans="1:1" ht="15"/>
    <row r="829" spans="1:1" ht="15">
      <c r="A829" s="10" t="s">
        <v>269</v>
      </c>
    </row>
    <row r="830" spans="1:1" ht="15">
      <c r="A830" s="10" t="s">
        <v>270</v>
      </c>
    </row>
    <row r="831" spans="1:1" ht="15">
      <c r="A831" s="10" t="s">
        <v>271</v>
      </c>
    </row>
    <row r="832" spans="1:1" ht="15">
      <c r="A832" s="10" t="s">
        <v>272</v>
      </c>
    </row>
    <row r="833" spans="1:1" ht="15">
      <c r="A833" s="10" t="s">
        <v>273</v>
      </c>
    </row>
    <row r="834" spans="1:1" ht="15">
      <c r="A834" s="10" t="s">
        <v>72</v>
      </c>
    </row>
    <row r="835" spans="1:1" ht="15">
      <c r="A835" s="10" t="s">
        <v>274</v>
      </c>
    </row>
    <row r="836" spans="1:1" ht="15">
      <c r="A836" s="10" t="s">
        <v>271</v>
      </c>
    </row>
    <row r="837" spans="1:1" ht="15">
      <c r="A837" s="10" t="s">
        <v>271</v>
      </c>
    </row>
    <row r="838" spans="1:1" ht="15">
      <c r="A838" s="10" t="s">
        <v>270</v>
      </c>
    </row>
    <row r="839" spans="1:1" ht="15"/>
    <row r="840" spans="1:1" ht="15">
      <c r="A840" s="10" t="s">
        <v>275</v>
      </c>
    </row>
    <row r="841" spans="1:1" ht="15">
      <c r="A841" s="10" t="s">
        <v>276</v>
      </c>
    </row>
    <row r="842" spans="1:1" ht="15">
      <c r="A842" s="10" t="s">
        <v>277</v>
      </c>
    </row>
    <row r="843" spans="1:1" ht="15">
      <c r="A843" s="10" t="s">
        <v>278</v>
      </c>
    </row>
    <row r="844" spans="1:1" ht="15">
      <c r="A844" s="10" t="s">
        <v>279</v>
      </c>
    </row>
    <row r="845" spans="1:1" ht="15">
      <c r="A845" s="10" t="s">
        <v>72</v>
      </c>
    </row>
    <row r="846" spans="1:1" ht="15">
      <c r="A846" s="10" t="s">
        <v>280</v>
      </c>
    </row>
    <row r="847" spans="1:1" ht="15">
      <c r="A847" s="10" t="s">
        <v>277</v>
      </c>
    </row>
    <row r="848" spans="1:1" ht="15">
      <c r="A848" s="10" t="s">
        <v>277</v>
      </c>
    </row>
    <row r="849" spans="1:1" ht="15">
      <c r="A849" s="10" t="s">
        <v>276</v>
      </c>
    </row>
    <row r="850" spans="1:1" ht="15"/>
    <row r="851" spans="1:1" ht="15">
      <c r="A851" s="10" t="s">
        <v>281</v>
      </c>
    </row>
    <row r="852" spans="1:1" ht="15">
      <c r="A852" s="10" t="s">
        <v>282</v>
      </c>
    </row>
    <row r="853" spans="1:1" ht="15">
      <c r="A853" s="10" t="s">
        <v>283</v>
      </c>
    </row>
    <row r="854" spans="1:1" ht="15">
      <c r="A854" s="10" t="s">
        <v>284</v>
      </c>
    </row>
    <row r="855" spans="1:1" ht="15">
      <c r="A855" s="10" t="s">
        <v>285</v>
      </c>
    </row>
    <row r="856" spans="1:1" ht="15">
      <c r="A856" s="10" t="s">
        <v>72</v>
      </c>
    </row>
    <row r="857" spans="1:1" ht="15">
      <c r="A857" s="10" t="s">
        <v>286</v>
      </c>
    </row>
    <row r="858" spans="1:1" ht="15">
      <c r="A858" s="10" t="s">
        <v>283</v>
      </c>
    </row>
    <row r="859" spans="1:1" ht="15">
      <c r="A859" s="10" t="s">
        <v>283</v>
      </c>
    </row>
    <row r="860" spans="1:1" ht="15">
      <c r="A860" s="10" t="s">
        <v>282</v>
      </c>
    </row>
    <row r="861" spans="1:1" ht="15"/>
    <row r="862" spans="1:1" ht="15">
      <c r="A862" s="10" t="s">
        <v>287</v>
      </c>
    </row>
    <row r="863" spans="1:1" ht="15">
      <c r="A863" s="10" t="s">
        <v>288</v>
      </c>
    </row>
    <row r="864" spans="1:1" ht="15">
      <c r="A864" s="10" t="s">
        <v>289</v>
      </c>
    </row>
    <row r="865" spans="1:1" ht="15">
      <c r="A865" s="10" t="s">
        <v>290</v>
      </c>
    </row>
    <row r="866" spans="1:1" ht="15">
      <c r="A866" s="10" t="s">
        <v>291</v>
      </c>
    </row>
    <row r="867" spans="1:1" ht="15">
      <c r="A867" s="10" t="s">
        <v>72</v>
      </c>
    </row>
    <row r="868" spans="1:1" ht="15">
      <c r="A868" s="10" t="s">
        <v>292</v>
      </c>
    </row>
    <row r="869" spans="1:1" ht="15">
      <c r="A869" s="10" t="s">
        <v>289</v>
      </c>
    </row>
    <row r="870" spans="1:1" ht="15">
      <c r="A870" s="10" t="s">
        <v>289</v>
      </c>
    </row>
    <row r="871" spans="1:1" ht="15">
      <c r="A871" s="10" t="s">
        <v>288</v>
      </c>
    </row>
    <row r="872" spans="1:1" ht="15"/>
    <row r="873" spans="1:1" ht="15">
      <c r="A873" s="10" t="s">
        <v>293</v>
      </c>
    </row>
    <row r="874" spans="1:1" ht="15">
      <c r="A874" s="10" t="s">
        <v>294</v>
      </c>
    </row>
    <row r="875" spans="1:1" ht="15">
      <c r="A875" s="10" t="s">
        <v>295</v>
      </c>
    </row>
    <row r="876" spans="1:1" ht="15">
      <c r="A876" s="10" t="s">
        <v>296</v>
      </c>
    </row>
    <row r="877" spans="1:1" ht="15">
      <c r="A877" s="10" t="s">
        <v>297</v>
      </c>
    </row>
    <row r="878" spans="1:1" ht="15">
      <c r="A878" s="10" t="s">
        <v>72</v>
      </c>
    </row>
    <row r="879" spans="1:1" ht="15">
      <c r="A879" s="10" t="s">
        <v>298</v>
      </c>
    </row>
    <row r="880" spans="1:1" ht="15">
      <c r="A880" s="10" t="s">
        <v>295</v>
      </c>
    </row>
    <row r="881" spans="1:1" ht="15">
      <c r="A881" s="10" t="s">
        <v>295</v>
      </c>
    </row>
    <row r="882" spans="1:1" ht="15">
      <c r="A882" s="10" t="s">
        <v>294</v>
      </c>
    </row>
    <row r="883" spans="1:1" ht="15"/>
    <row r="884" spans="1:1" ht="15">
      <c r="A884" s="10" t="s">
        <v>299</v>
      </c>
    </row>
    <row r="885" spans="1:1" ht="15">
      <c r="A885" s="10" t="s">
        <v>300</v>
      </c>
    </row>
    <row r="886" spans="1:1" ht="15">
      <c r="A886" s="10" t="s">
        <v>301</v>
      </c>
    </row>
    <row r="887" spans="1:1" ht="15">
      <c r="A887" s="10" t="s">
        <v>302</v>
      </c>
    </row>
    <row r="888" spans="1:1" ht="15">
      <c r="A888" s="10" t="s">
        <v>303</v>
      </c>
    </row>
    <row r="889" spans="1:1" ht="15">
      <c r="A889" s="10" t="s">
        <v>72</v>
      </c>
    </row>
    <row r="890" spans="1:1" ht="15">
      <c r="A890" s="10" t="s">
        <v>304</v>
      </c>
    </row>
    <row r="891" spans="1:1" ht="15">
      <c r="A891" s="10" t="s">
        <v>301</v>
      </c>
    </row>
    <row r="892" spans="1:1" ht="15">
      <c r="A892" s="10" t="s">
        <v>301</v>
      </c>
    </row>
    <row r="893" spans="1:1" ht="15">
      <c r="A893" s="10" t="s">
        <v>300</v>
      </c>
    </row>
    <row r="894" spans="1:1" ht="15"/>
    <row r="895" spans="1:1" ht="15">
      <c r="A895" s="10" t="s">
        <v>305</v>
      </c>
    </row>
    <row r="896" spans="1:1" ht="15">
      <c r="A896" s="10" t="s">
        <v>306</v>
      </c>
    </row>
    <row r="897" spans="1:1" ht="15">
      <c r="A897" s="10" t="s">
        <v>307</v>
      </c>
    </row>
    <row r="898" spans="1:1" ht="15">
      <c r="A898" s="10" t="s">
        <v>308</v>
      </c>
    </row>
    <row r="899" spans="1:1" ht="15">
      <c r="A899" s="10" t="s">
        <v>309</v>
      </c>
    </row>
    <row r="900" spans="1:1" ht="15">
      <c r="A900" s="10" t="s">
        <v>72</v>
      </c>
    </row>
    <row r="901" spans="1:1" ht="15">
      <c r="A901" s="10" t="s">
        <v>310</v>
      </c>
    </row>
    <row r="902" spans="1:1" ht="15">
      <c r="A902" s="10" t="s">
        <v>307</v>
      </c>
    </row>
    <row r="903" spans="1:1" ht="15">
      <c r="A903" s="10" t="s">
        <v>307</v>
      </c>
    </row>
    <row r="904" spans="1:1" ht="15">
      <c r="A904" s="10" t="s">
        <v>306</v>
      </c>
    </row>
    <row r="905" spans="1:1" ht="15"/>
    <row r="906" spans="1:1" ht="15">
      <c r="A906" s="10" t="s">
        <v>311</v>
      </c>
    </row>
    <row r="907" spans="1:1" ht="15">
      <c r="A907" s="10" t="s">
        <v>312</v>
      </c>
    </row>
    <row r="908" spans="1:1" ht="15">
      <c r="A908" s="10" t="s">
        <v>313</v>
      </c>
    </row>
    <row r="909" spans="1:1" ht="15">
      <c r="A909" s="10" t="s">
        <v>314</v>
      </c>
    </row>
    <row r="910" spans="1:1" ht="15">
      <c r="A910" s="10" t="s">
        <v>315</v>
      </c>
    </row>
    <row r="911" spans="1:1" ht="15">
      <c r="A911" s="10" t="s">
        <v>72</v>
      </c>
    </row>
    <row r="912" spans="1:1" ht="15">
      <c r="A912" s="10" t="s">
        <v>316</v>
      </c>
    </row>
    <row r="913" spans="1:1" ht="15">
      <c r="A913" s="10" t="s">
        <v>313</v>
      </c>
    </row>
    <row r="914" spans="1:1" ht="15">
      <c r="A914" s="10" t="s">
        <v>313</v>
      </c>
    </row>
    <row r="915" spans="1:1" ht="15">
      <c r="A915" s="10" t="s">
        <v>312</v>
      </c>
    </row>
    <row r="916" spans="1:1" ht="15"/>
    <row r="917" spans="1:1" ht="15">
      <c r="A917" s="10" t="s">
        <v>317</v>
      </c>
    </row>
    <row r="918" spans="1:1" ht="15">
      <c r="A918" s="10" t="s">
        <v>318</v>
      </c>
    </row>
    <row r="919" spans="1:1" ht="15">
      <c r="A919" s="10" t="s">
        <v>319</v>
      </c>
    </row>
    <row r="920" spans="1:1" ht="15">
      <c r="A920" s="10" t="s">
        <v>320</v>
      </c>
    </row>
    <row r="921" spans="1:1" ht="15">
      <c r="A921" s="10" t="s">
        <v>321</v>
      </c>
    </row>
    <row r="922" spans="1:1" ht="15">
      <c r="A922" s="10" t="s">
        <v>72</v>
      </c>
    </row>
    <row r="923" spans="1:1" ht="15">
      <c r="A923" s="10" t="s">
        <v>322</v>
      </c>
    </row>
    <row r="924" spans="1:1" ht="15">
      <c r="A924" s="10" t="s">
        <v>319</v>
      </c>
    </row>
    <row r="925" spans="1:1" ht="15">
      <c r="A925" s="10" t="s">
        <v>319</v>
      </c>
    </row>
    <row r="926" spans="1:1" ht="15">
      <c r="A926" s="10" t="s">
        <v>318</v>
      </c>
    </row>
    <row r="927" spans="1:1" ht="15"/>
    <row r="928" spans="1:1" ht="15">
      <c r="A928" s="10" t="s">
        <v>323</v>
      </c>
    </row>
    <row r="929" spans="1:1" ht="15">
      <c r="A929" s="10" t="s">
        <v>324</v>
      </c>
    </row>
    <row r="930" spans="1:1" ht="15">
      <c r="A930" s="10" t="s">
        <v>325</v>
      </c>
    </row>
    <row r="931" spans="1:1" ht="15">
      <c r="A931" s="10" t="s">
        <v>326</v>
      </c>
    </row>
    <row r="932" spans="1:1" ht="15">
      <c r="A932" s="10" t="s">
        <v>327</v>
      </c>
    </row>
    <row r="933" spans="1:1" ht="15">
      <c r="A933" s="10" t="s">
        <v>72</v>
      </c>
    </row>
    <row r="934" spans="1:1" ht="15">
      <c r="A934" s="10" t="s">
        <v>328</v>
      </c>
    </row>
    <row r="935" spans="1:1" ht="15">
      <c r="A935" s="10" t="s">
        <v>325</v>
      </c>
    </row>
    <row r="936" spans="1:1" ht="15">
      <c r="A936" s="10" t="s">
        <v>325</v>
      </c>
    </row>
    <row r="937" spans="1:1" ht="15">
      <c r="A937" s="10" t="s">
        <v>324</v>
      </c>
    </row>
    <row r="938" spans="1:1" ht="15"/>
    <row r="939" spans="1:1" ht="15">
      <c r="A939" s="10" t="s">
        <v>329</v>
      </c>
    </row>
    <row r="940" spans="1:1" ht="15">
      <c r="A940" s="10" t="s">
        <v>330</v>
      </c>
    </row>
    <row r="941" spans="1:1" ht="15">
      <c r="A941" s="10" t="s">
        <v>331</v>
      </c>
    </row>
    <row r="942" spans="1:1" ht="15">
      <c r="A942" s="10" t="s">
        <v>332</v>
      </c>
    </row>
    <row r="943" spans="1:1" ht="15">
      <c r="A943" s="10" t="s">
        <v>333</v>
      </c>
    </row>
    <row r="944" spans="1:1" ht="15">
      <c r="A944" s="10" t="s">
        <v>72</v>
      </c>
    </row>
    <row r="945" spans="1:1" ht="15">
      <c r="A945" s="10" t="s">
        <v>334</v>
      </c>
    </row>
    <row r="946" spans="1:1" ht="15">
      <c r="A946" s="10" t="s">
        <v>331</v>
      </c>
    </row>
    <row r="947" spans="1:1" ht="15">
      <c r="A947" s="10" t="s">
        <v>331</v>
      </c>
    </row>
    <row r="948" spans="1:1" ht="15">
      <c r="A948" s="10" t="s">
        <v>330</v>
      </c>
    </row>
    <row r="949" spans="1:1" ht="15"/>
    <row r="950" spans="1:1" ht="15">
      <c r="A950" s="10" t="s">
        <v>335</v>
      </c>
    </row>
    <row r="951" spans="1:1" ht="15">
      <c r="A951" s="10" t="s">
        <v>336</v>
      </c>
    </row>
    <row r="952" spans="1:1" ht="15">
      <c r="A952" s="10" t="s">
        <v>337</v>
      </c>
    </row>
    <row r="953" spans="1:1" ht="15">
      <c r="A953" s="10" t="s">
        <v>338</v>
      </c>
    </row>
    <row r="954" spans="1:1" ht="15">
      <c r="A954" s="10" t="s">
        <v>339</v>
      </c>
    </row>
    <row r="955" spans="1:1" ht="15">
      <c r="A955" s="10" t="s">
        <v>72</v>
      </c>
    </row>
    <row r="956" spans="1:1" ht="15">
      <c r="A956" s="10" t="s">
        <v>340</v>
      </c>
    </row>
    <row r="957" spans="1:1" ht="15">
      <c r="A957" s="10" t="s">
        <v>337</v>
      </c>
    </row>
    <row r="958" spans="1:1" ht="15">
      <c r="A958" s="10" t="s">
        <v>337</v>
      </c>
    </row>
    <row r="959" spans="1:1" ht="15">
      <c r="A959" s="10" t="s">
        <v>336</v>
      </c>
    </row>
    <row r="960" spans="1:1" ht="15"/>
    <row r="961" spans="1:1" ht="15">
      <c r="A961" s="10" t="s">
        <v>341</v>
      </c>
    </row>
    <row r="962" spans="1:1" ht="15">
      <c r="A962" s="10" t="s">
        <v>342</v>
      </c>
    </row>
    <row r="963" spans="1:1" ht="15">
      <c r="A963" s="10" t="s">
        <v>343</v>
      </c>
    </row>
    <row r="964" spans="1:1" ht="15">
      <c r="A964" s="10" t="s">
        <v>344</v>
      </c>
    </row>
    <row r="965" spans="1:1" ht="15">
      <c r="A965" s="10" t="s">
        <v>345</v>
      </c>
    </row>
    <row r="966" spans="1:1" ht="15">
      <c r="A966" s="10" t="s">
        <v>72</v>
      </c>
    </row>
    <row r="967" spans="1:1" ht="15">
      <c r="A967" s="10" t="s">
        <v>346</v>
      </c>
    </row>
    <row r="968" spans="1:1" ht="15">
      <c r="A968" s="10" t="s">
        <v>343</v>
      </c>
    </row>
    <row r="969" spans="1:1" ht="15">
      <c r="A969" s="10" t="s">
        <v>343</v>
      </c>
    </row>
    <row r="970" spans="1:1" ht="15">
      <c r="A970" s="10" t="s">
        <v>342</v>
      </c>
    </row>
    <row r="971" spans="1:1" ht="15"/>
    <row r="972" spans="1:1" ht="15">
      <c r="A972" s="10" t="s">
        <v>347</v>
      </c>
    </row>
    <row r="973" spans="1:1" ht="15">
      <c r="A973" s="10" t="s">
        <v>348</v>
      </c>
    </row>
    <row r="974" spans="1:1" ht="15">
      <c r="A974" s="10" t="s">
        <v>349</v>
      </c>
    </row>
    <row r="975" spans="1:1" ht="15">
      <c r="A975" s="10" t="s">
        <v>350</v>
      </c>
    </row>
    <row r="976" spans="1:1" ht="15">
      <c r="A976" s="10" t="s">
        <v>351</v>
      </c>
    </row>
    <row r="977" spans="1:1" ht="15">
      <c r="A977" s="10" t="s">
        <v>72</v>
      </c>
    </row>
    <row r="978" spans="1:1" ht="15">
      <c r="A978" s="10" t="s">
        <v>352</v>
      </c>
    </row>
    <row r="979" spans="1:1" ht="15">
      <c r="A979" s="10" t="s">
        <v>349</v>
      </c>
    </row>
    <row r="980" spans="1:1" ht="15">
      <c r="A980" s="10" t="s">
        <v>349</v>
      </c>
    </row>
    <row r="981" spans="1:1" ht="15">
      <c r="A981" s="10" t="s">
        <v>348</v>
      </c>
    </row>
    <row r="982" spans="1:1" ht="15"/>
    <row r="983" spans="1:1" ht="15">
      <c r="A983" s="10" t="s">
        <v>353</v>
      </c>
    </row>
    <row r="984" spans="1:1" ht="15">
      <c r="A984" s="10" t="s">
        <v>354</v>
      </c>
    </row>
    <row r="985" spans="1:1" ht="15">
      <c r="A985" s="10" t="s">
        <v>355</v>
      </c>
    </row>
    <row r="986" spans="1:1" ht="15">
      <c r="A986" s="10" t="s">
        <v>356</v>
      </c>
    </row>
    <row r="987" spans="1:1" ht="15">
      <c r="A987" s="10" t="s">
        <v>357</v>
      </c>
    </row>
    <row r="988" spans="1:1" ht="15">
      <c r="A988" s="10" t="s">
        <v>72</v>
      </c>
    </row>
    <row r="989" spans="1:1" ht="15">
      <c r="A989" s="10" t="s">
        <v>358</v>
      </c>
    </row>
    <row r="990" spans="1:1" ht="15">
      <c r="A990" s="10" t="s">
        <v>355</v>
      </c>
    </row>
    <row r="991" spans="1:1" ht="15">
      <c r="A991" s="10" t="s">
        <v>355</v>
      </c>
    </row>
    <row r="992" spans="1:1" ht="15">
      <c r="A992" s="10" t="s">
        <v>354</v>
      </c>
    </row>
    <row r="993" spans="1:1" ht="15"/>
    <row r="994" spans="1:1" ht="15">
      <c r="A994" s="10" t="s">
        <v>359</v>
      </c>
    </row>
    <row r="995" spans="1:1" ht="15">
      <c r="A995" s="10" t="s">
        <v>360</v>
      </c>
    </row>
    <row r="996" spans="1:1" ht="15">
      <c r="A996" s="10" t="s">
        <v>361</v>
      </c>
    </row>
    <row r="997" spans="1:1" ht="15">
      <c r="A997" s="10" t="s">
        <v>362</v>
      </c>
    </row>
    <row r="998" spans="1:1" ht="15">
      <c r="A998" s="10" t="s">
        <v>363</v>
      </c>
    </row>
    <row r="999" spans="1:1" ht="15">
      <c r="A999" s="10" t="s">
        <v>72</v>
      </c>
    </row>
    <row r="1000" spans="1:1" ht="15">
      <c r="A1000" s="10" t="s">
        <v>364</v>
      </c>
    </row>
    <row r="1001" spans="1:1" ht="15">
      <c r="A1001" s="10" t="s">
        <v>361</v>
      </c>
    </row>
    <row r="1002" spans="1:1" ht="15">
      <c r="A1002" s="10" t="s">
        <v>361</v>
      </c>
    </row>
    <row r="1003" spans="1:1" ht="15">
      <c r="A1003" s="10" t="s">
        <v>360</v>
      </c>
    </row>
    <row r="1004" spans="1:1" ht="15"/>
    <row r="1005" spans="1:1" ht="15">
      <c r="A1005" s="10" t="s">
        <v>365</v>
      </c>
    </row>
    <row r="1006" spans="1:1" ht="15">
      <c r="A1006" s="10" t="s">
        <v>366</v>
      </c>
    </row>
    <row r="1007" spans="1:1" ht="15">
      <c r="A1007" s="10" t="s">
        <v>367</v>
      </c>
    </row>
    <row r="1008" spans="1:1" ht="15">
      <c r="A1008" s="10" t="s">
        <v>368</v>
      </c>
    </row>
    <row r="1009" spans="1:1" ht="15">
      <c r="A1009" s="10" t="s">
        <v>369</v>
      </c>
    </row>
    <row r="1010" spans="1:1" ht="15">
      <c r="A1010" s="10" t="s">
        <v>72</v>
      </c>
    </row>
    <row r="1011" spans="1:1" ht="15">
      <c r="A1011" s="10" t="s">
        <v>370</v>
      </c>
    </row>
    <row r="1012" spans="1:1" ht="15">
      <c r="A1012" s="10" t="s">
        <v>367</v>
      </c>
    </row>
    <row r="1013" spans="1:1" ht="15">
      <c r="A1013" s="10" t="s">
        <v>367</v>
      </c>
    </row>
    <row r="1014" spans="1:1" ht="15">
      <c r="A1014" s="10" t="s">
        <v>366</v>
      </c>
    </row>
    <row r="1015" spans="1:1" ht="15"/>
    <row r="1016" spans="1:1" ht="15">
      <c r="A1016" s="10" t="s">
        <v>371</v>
      </c>
    </row>
    <row r="1017" spans="1:1" ht="15">
      <c r="A1017" s="10" t="s">
        <v>372</v>
      </c>
    </row>
    <row r="1018" spans="1:1" ht="15">
      <c r="A1018" s="10" t="s">
        <v>373</v>
      </c>
    </row>
    <row r="1019" spans="1:1" ht="15">
      <c r="A1019" s="10" t="s">
        <v>374</v>
      </c>
    </row>
    <row r="1020" spans="1:1" ht="15">
      <c r="A1020" s="10" t="s">
        <v>375</v>
      </c>
    </row>
    <row r="1021" spans="1:1" ht="15">
      <c r="A1021" s="10" t="s">
        <v>72</v>
      </c>
    </row>
    <row r="1022" spans="1:1" ht="15">
      <c r="A1022" s="10" t="s">
        <v>376</v>
      </c>
    </row>
    <row r="1023" spans="1:1" ht="15">
      <c r="A1023" s="10" t="s">
        <v>373</v>
      </c>
    </row>
    <row r="1024" spans="1:1" ht="15">
      <c r="A1024" s="10" t="s">
        <v>373</v>
      </c>
    </row>
    <row r="1025" spans="1:1" ht="15">
      <c r="A1025" s="10" t="s">
        <v>372</v>
      </c>
    </row>
    <row r="1026" spans="1:1" ht="15"/>
    <row r="1027" spans="1:1" ht="15">
      <c r="A1027" s="10" t="s">
        <v>377</v>
      </c>
    </row>
    <row r="1028" spans="1:1" ht="15">
      <c r="A1028" s="10" t="s">
        <v>378</v>
      </c>
    </row>
    <row r="1029" spans="1:1" ht="15">
      <c r="A1029" s="10" t="s">
        <v>379</v>
      </c>
    </row>
    <row r="1030" spans="1:1" ht="15">
      <c r="A1030" s="10" t="s">
        <v>380</v>
      </c>
    </row>
    <row r="1031" spans="1:1" ht="15">
      <c r="A1031" s="10" t="s">
        <v>381</v>
      </c>
    </row>
    <row r="1032" spans="1:1" ht="15">
      <c r="A1032" s="10" t="s">
        <v>72</v>
      </c>
    </row>
    <row r="1033" spans="1:1" ht="15">
      <c r="A1033" s="10" t="s">
        <v>382</v>
      </c>
    </row>
    <row r="1034" spans="1:1" ht="15">
      <c r="A1034" s="10" t="s">
        <v>379</v>
      </c>
    </row>
    <row r="1035" spans="1:1" ht="15">
      <c r="A1035" s="10" t="s">
        <v>379</v>
      </c>
    </row>
    <row r="1036" spans="1:1" ht="15">
      <c r="A1036" s="10" t="s">
        <v>378</v>
      </c>
    </row>
    <row r="1037" spans="1:1" ht="15"/>
    <row r="1038" spans="1:1" ht="15">
      <c r="A1038" s="10" t="s">
        <v>383</v>
      </c>
    </row>
    <row r="1039" spans="1:1" ht="15">
      <c r="A1039" s="10" t="s">
        <v>384</v>
      </c>
    </row>
    <row r="1040" spans="1:1" ht="15">
      <c r="A1040" s="10" t="s">
        <v>385</v>
      </c>
    </row>
    <row r="1041" spans="1:1" ht="15">
      <c r="A1041" s="10" t="s">
        <v>386</v>
      </c>
    </row>
    <row r="1042" spans="1:1" ht="15">
      <c r="A1042" s="10" t="s">
        <v>387</v>
      </c>
    </row>
    <row r="1043" spans="1:1" ht="15">
      <c r="A1043" s="10" t="s">
        <v>72</v>
      </c>
    </row>
    <row r="1044" spans="1:1" ht="15">
      <c r="A1044" s="10" t="s">
        <v>388</v>
      </c>
    </row>
    <row r="1045" spans="1:1" ht="15">
      <c r="A1045" s="10" t="s">
        <v>385</v>
      </c>
    </row>
    <row r="1046" spans="1:1" ht="15">
      <c r="A1046" s="10" t="s">
        <v>385</v>
      </c>
    </row>
    <row r="1047" spans="1:1" ht="15">
      <c r="A1047" s="10" t="s">
        <v>384</v>
      </c>
    </row>
    <row r="1048" spans="1:1" ht="15"/>
    <row r="1049" spans="1:1" ht="15">
      <c r="A1049" s="10" t="s">
        <v>389</v>
      </c>
    </row>
    <row r="1050" spans="1:1" ht="15">
      <c r="A1050" s="10" t="s">
        <v>390</v>
      </c>
    </row>
    <row r="1051" spans="1:1" ht="15">
      <c r="A1051" s="10" t="s">
        <v>391</v>
      </c>
    </row>
    <row r="1052" spans="1:1" ht="15">
      <c r="A1052" s="10" t="s">
        <v>392</v>
      </c>
    </row>
    <row r="1053" spans="1:1" ht="15">
      <c r="A1053" s="10" t="s">
        <v>393</v>
      </c>
    </row>
    <row r="1054" spans="1:1" ht="15">
      <c r="A1054" s="10" t="s">
        <v>72</v>
      </c>
    </row>
    <row r="1055" spans="1:1" ht="15">
      <c r="A1055" s="10" t="s">
        <v>394</v>
      </c>
    </row>
    <row r="1056" spans="1:1" ht="15">
      <c r="A1056" s="10" t="s">
        <v>391</v>
      </c>
    </row>
    <row r="1057" spans="1:1" ht="15">
      <c r="A1057" s="10" t="s">
        <v>391</v>
      </c>
    </row>
    <row r="1058" spans="1:1" ht="15">
      <c r="A1058" s="10" t="s">
        <v>390</v>
      </c>
    </row>
    <row r="1059" spans="1:1" ht="15"/>
    <row r="1060" spans="1:1" ht="15">
      <c r="A1060" s="10" t="s">
        <v>395</v>
      </c>
    </row>
    <row r="1061" spans="1:1" ht="15">
      <c r="A1061" s="10" t="s">
        <v>396</v>
      </c>
    </row>
    <row r="1062" spans="1:1" ht="15">
      <c r="A1062" s="10" t="s">
        <v>397</v>
      </c>
    </row>
    <row r="1063" spans="1:1" ht="15">
      <c r="A1063" s="10" t="s">
        <v>398</v>
      </c>
    </row>
    <row r="1064" spans="1:1" ht="15">
      <c r="A1064" s="10" t="s">
        <v>399</v>
      </c>
    </row>
    <row r="1065" spans="1:1" ht="15">
      <c r="A1065" s="10" t="s">
        <v>72</v>
      </c>
    </row>
    <row r="1066" spans="1:1" ht="15">
      <c r="A1066" s="10" t="s">
        <v>400</v>
      </c>
    </row>
    <row r="1067" spans="1:1" ht="15">
      <c r="A1067" s="10" t="s">
        <v>397</v>
      </c>
    </row>
    <row r="1068" spans="1:1" ht="15">
      <c r="A1068" s="10" t="s">
        <v>397</v>
      </c>
    </row>
    <row r="1069" spans="1:1" ht="15">
      <c r="A1069" s="10" t="s">
        <v>396</v>
      </c>
    </row>
    <row r="1070" spans="1:1" ht="15"/>
    <row r="1071" spans="1:1" ht="15">
      <c r="A1071" s="10" t="s">
        <v>401</v>
      </c>
    </row>
    <row r="1072" spans="1:1" ht="15">
      <c r="A1072" s="10" t="s">
        <v>402</v>
      </c>
    </row>
    <row r="1073" spans="1:1" ht="15">
      <c r="A1073" s="10" t="s">
        <v>403</v>
      </c>
    </row>
    <row r="1074" spans="1:1" ht="15">
      <c r="A1074" s="10" t="s">
        <v>404</v>
      </c>
    </row>
    <row r="1075" spans="1:1" ht="15">
      <c r="A1075" s="10" t="s">
        <v>405</v>
      </c>
    </row>
    <row r="1076" spans="1:1" ht="15">
      <c r="A1076" s="10" t="s">
        <v>72</v>
      </c>
    </row>
    <row r="1077" spans="1:1" ht="15">
      <c r="A1077" s="10" t="s">
        <v>406</v>
      </c>
    </row>
    <row r="1078" spans="1:1" ht="15">
      <c r="A1078" s="10" t="s">
        <v>403</v>
      </c>
    </row>
    <row r="1079" spans="1:1" ht="15">
      <c r="A1079" s="10" t="s">
        <v>403</v>
      </c>
    </row>
    <row r="1080" spans="1:1" ht="15">
      <c r="A1080" s="10" t="s">
        <v>402</v>
      </c>
    </row>
    <row r="1081" spans="1:1" ht="15"/>
    <row r="1082" spans="1:1" ht="15">
      <c r="A1082" s="10" t="s">
        <v>407</v>
      </c>
    </row>
    <row r="1083" spans="1:1" ht="15">
      <c r="A1083" s="10" t="s">
        <v>408</v>
      </c>
    </row>
    <row r="1084" spans="1:1" ht="15">
      <c r="A1084" s="10" t="s">
        <v>409</v>
      </c>
    </row>
    <row r="1085" spans="1:1" ht="15">
      <c r="A1085" s="10" t="s">
        <v>410</v>
      </c>
    </row>
    <row r="1086" spans="1:1" ht="15">
      <c r="A1086" s="10" t="s">
        <v>411</v>
      </c>
    </row>
    <row r="1087" spans="1:1" ht="15">
      <c r="A1087" s="10" t="s">
        <v>72</v>
      </c>
    </row>
    <row r="1088" spans="1:1" ht="15">
      <c r="A1088" s="10" t="s">
        <v>412</v>
      </c>
    </row>
    <row r="1089" spans="1:1" ht="15">
      <c r="A1089" s="10" t="s">
        <v>409</v>
      </c>
    </row>
    <row r="1090" spans="1:1" ht="15">
      <c r="A1090" s="10" t="s">
        <v>409</v>
      </c>
    </row>
    <row r="1091" spans="1:1" ht="15">
      <c r="A1091" s="10" t="s">
        <v>408</v>
      </c>
    </row>
    <row r="1092" spans="1:1" ht="15"/>
    <row r="1093" spans="1:1" ht="15">
      <c r="A1093" s="10" t="s">
        <v>413</v>
      </c>
    </row>
    <row r="1094" spans="1:1" ht="15">
      <c r="A1094" s="10" t="s">
        <v>414</v>
      </c>
    </row>
    <row r="1095" spans="1:1" ht="15">
      <c r="A1095" s="10" t="s">
        <v>415</v>
      </c>
    </row>
    <row r="1096" spans="1:1" ht="15">
      <c r="A1096" s="10" t="s">
        <v>416</v>
      </c>
    </row>
    <row r="1097" spans="1:1" ht="15">
      <c r="A1097" s="10" t="s">
        <v>417</v>
      </c>
    </row>
    <row r="1098" spans="1:1" ht="15">
      <c r="A1098" s="10" t="s">
        <v>72</v>
      </c>
    </row>
    <row r="1099" spans="1:1" ht="15">
      <c r="A1099" s="10" t="s">
        <v>418</v>
      </c>
    </row>
    <row r="1100" spans="1:1" ht="15">
      <c r="A1100" s="10" t="s">
        <v>415</v>
      </c>
    </row>
    <row r="1101" spans="1:1" ht="15">
      <c r="A1101" s="10" t="s">
        <v>415</v>
      </c>
    </row>
    <row r="1102" spans="1:1" ht="15">
      <c r="A1102" s="10" t="s">
        <v>414</v>
      </c>
    </row>
    <row r="1103" spans="1:1" ht="15"/>
    <row r="1104" spans="1:1" ht="15">
      <c r="A1104" s="10" t="s">
        <v>419</v>
      </c>
    </row>
    <row r="1105" spans="1:1" ht="15">
      <c r="A1105" s="10" t="s">
        <v>420</v>
      </c>
    </row>
    <row r="1106" spans="1:1" ht="15">
      <c r="A1106" s="10" t="s">
        <v>421</v>
      </c>
    </row>
    <row r="1107" spans="1:1" ht="15">
      <c r="A1107" s="10" t="s">
        <v>422</v>
      </c>
    </row>
    <row r="1108" spans="1:1" ht="15">
      <c r="A1108" s="10" t="s">
        <v>423</v>
      </c>
    </row>
    <row r="1109" spans="1:1" ht="15">
      <c r="A1109" s="10" t="s">
        <v>72</v>
      </c>
    </row>
    <row r="1110" spans="1:1" ht="15">
      <c r="A1110" s="10" t="s">
        <v>424</v>
      </c>
    </row>
    <row r="1111" spans="1:1" ht="15">
      <c r="A1111" s="10" t="s">
        <v>421</v>
      </c>
    </row>
    <row r="1112" spans="1:1" ht="15">
      <c r="A1112" s="10" t="s">
        <v>421</v>
      </c>
    </row>
    <row r="1113" spans="1:1" ht="15">
      <c r="A1113" s="10" t="s">
        <v>420</v>
      </c>
    </row>
    <row r="1114" spans="1:1" ht="15"/>
    <row r="1115" spans="1:1" ht="15">
      <c r="A1115" s="10" t="s">
        <v>425</v>
      </c>
    </row>
    <row r="1116" spans="1:1" ht="15">
      <c r="A1116" s="10" t="s">
        <v>426</v>
      </c>
    </row>
    <row r="1117" spans="1:1" ht="15">
      <c r="A1117" s="10" t="s">
        <v>427</v>
      </c>
    </row>
    <row r="1118" spans="1:1" ht="15">
      <c r="A1118" s="10" t="s">
        <v>428</v>
      </c>
    </row>
    <row r="1119" spans="1:1" ht="15">
      <c r="A1119" s="10" t="s">
        <v>429</v>
      </c>
    </row>
    <row r="1120" spans="1:1" ht="15">
      <c r="A1120" s="10" t="s">
        <v>72</v>
      </c>
    </row>
    <row r="1121" spans="1:1" ht="15">
      <c r="A1121" s="10" t="s">
        <v>430</v>
      </c>
    </row>
    <row r="1122" spans="1:1" ht="15">
      <c r="A1122" s="10" t="s">
        <v>427</v>
      </c>
    </row>
    <row r="1123" spans="1:1" ht="15">
      <c r="A1123" s="10" t="s">
        <v>427</v>
      </c>
    </row>
    <row r="1124" spans="1:1" ht="15">
      <c r="A1124" s="10" t="s">
        <v>426</v>
      </c>
    </row>
    <row r="1125" spans="1:1" ht="15"/>
    <row r="1126" spans="1:1" ht="15">
      <c r="A1126" s="10" t="s">
        <v>99</v>
      </c>
    </row>
    <row r="1127" spans="1:1" ht="15"/>
    <row r="1128" spans="1:1" ht="15"/>
    <row r="1129" spans="1:1" ht="15"/>
    <row r="1130" spans="1:1" ht="15"/>
    <row r="1131" spans="1:1" ht="15"/>
    <row r="1132" spans="1:1" ht="15"/>
    <row r="1133" spans="1:1" ht="15"/>
    <row r="1134" spans="1:1" ht="15"/>
    <row r="1135" spans="1:1" ht="15"/>
    <row r="1136" spans="1:1" ht="15"/>
    <row r="1137" ht="15"/>
    <row r="1138" ht="15"/>
    <row r="1139" ht="15"/>
    <row r="1140" ht="15"/>
    <row r="1141" ht="15"/>
    <row r="1142" ht="15"/>
    <row r="1143" ht="15"/>
    <row r="1144" ht="15"/>
    <row r="1145" ht="15"/>
    <row r="1146" ht="15"/>
    <row r="1147" ht="15"/>
    <row r="1148" ht="15"/>
    <row r="1149" ht="15"/>
    <row r="1150" ht="15"/>
    <row r="1151" ht="15"/>
    <row r="1152" ht="15"/>
    <row r="1153" ht="15"/>
    <row r="1154" ht="15"/>
    <row r="1155" ht="15"/>
    <row r="1156" ht="15"/>
    <row r="1157" ht="15"/>
    <row r="1158" ht="15"/>
    <row r="1159" ht="15"/>
    <row r="1160" ht="15"/>
    <row r="1161" ht="15"/>
    <row r="1162" ht="15"/>
    <row r="1163" ht="15"/>
    <row r="1164" ht="15"/>
    <row r="1165" ht="15"/>
    <row r="1166" ht="15"/>
    <row r="1167" ht="15"/>
    <row r="1168" ht="15"/>
    <row r="1169" ht="15"/>
    <row r="1170" ht="15"/>
    <row r="1171" ht="15"/>
    <row r="1172" ht="15"/>
    <row r="1173" ht="15"/>
    <row r="1174" ht="15"/>
    <row r="1175" ht="15"/>
    <row r="1176" ht="15"/>
    <row r="1177" ht="15"/>
    <row r="1178" ht="15"/>
    <row r="1179" ht="15"/>
    <row r="1180" ht="15"/>
    <row r="1181" ht="15"/>
    <row r="1182" ht="15"/>
    <row r="1183" ht="15"/>
    <row r="1184" ht="15"/>
    <row r="1185" ht="15"/>
    <row r="1186" ht="15"/>
    <row r="1187" ht="15"/>
    <row r="1188" ht="15"/>
    <row r="1189" ht="15"/>
    <row r="1190" ht="15"/>
    <row r="1191" ht="15"/>
    <row r="1192" ht="15"/>
    <row r="1193" ht="15"/>
    <row r="1194" ht="15"/>
    <row r="1195" ht="15"/>
    <row r="1196" ht="15"/>
    <row r="1197" ht="15"/>
    <row r="1198" ht="15"/>
    <row r="1199" ht="15"/>
    <row r="1200" ht="15"/>
    <row r="1201" ht="15"/>
    <row r="1202" ht="15"/>
    <row r="1203" ht="15"/>
    <row r="1204" ht="15"/>
    <row r="1205" ht="15"/>
    <row r="1206" ht="15"/>
    <row r="1207" ht="15"/>
    <row r="1208" ht="15"/>
    <row r="1209" ht="15"/>
    <row r="1210" ht="15"/>
    <row r="1211" ht="15"/>
    <row r="1212" ht="15"/>
    <row r="1213" ht="15"/>
    <row r="1214" ht="15"/>
    <row r="1215" ht="15"/>
    <row r="1216" ht="15"/>
    <row r="1217" ht="15"/>
    <row r="1218" ht="15"/>
    <row r="1219" ht="15"/>
    <row r="1220" ht="15"/>
    <row r="1221" ht="15"/>
    <row r="1222" ht="15"/>
    <row r="1223" ht="15"/>
    <row r="1224" ht="15"/>
    <row r="1225" ht="15"/>
    <row r="1226" ht="15"/>
    <row r="1227" ht="15"/>
    <row r="1228" ht="15"/>
    <row r="1229" ht="15"/>
    <row r="1230" ht="15"/>
    <row r="1231" ht="15"/>
    <row r="1232" ht="15"/>
    <row r="1233" ht="15"/>
    <row r="1234" ht="15"/>
    <row r="1235" ht="15"/>
    <row r="1236" ht="15"/>
    <row r="1237" ht="15"/>
    <row r="1238" ht="15"/>
    <row r="1239" ht="15"/>
    <row r="1240" ht="15"/>
    <row r="1241" ht="15"/>
    <row r="1242" ht="15"/>
    <row r="1243" ht="15"/>
    <row r="1244" ht="15"/>
    <row r="1245" ht="15"/>
    <row r="1246" ht="15"/>
    <row r="1247" ht="15"/>
    <row r="1248" ht="15"/>
    <row r="1249" ht="15"/>
    <row r="1250" ht="15"/>
    <row r="1251" ht="15"/>
    <row r="1252" ht="15"/>
    <row r="1253" ht="15"/>
    <row r="1254" ht="15"/>
    <row r="1255" ht="15"/>
    <row r="1256" ht="15"/>
    <row r="1257" ht="15"/>
    <row r="1258" ht="15"/>
    <row r="1259" ht="15"/>
    <row r="1260" ht="15"/>
    <row r="1261" ht="15"/>
    <row r="1262" ht="15"/>
    <row r="1263" ht="15"/>
    <row r="1264" ht="15"/>
    <row r="1265" ht="15"/>
    <row r="1266" ht="15"/>
    <row r="1267" ht="15"/>
    <row r="1268" ht="15"/>
    <row r="1269" ht="15"/>
    <row r="1270" ht="15"/>
    <row r="1271" ht="15"/>
    <row r="1272" ht="15"/>
    <row r="1273" ht="15"/>
    <row r="1274" ht="15"/>
    <row r="1275" ht="15"/>
    <row r="1276" ht="15"/>
    <row r="1277" ht="15"/>
    <row r="1278" ht="15"/>
    <row r="1279" ht="15"/>
    <row r="1280" ht="15"/>
    <row r="1281" ht="15"/>
    <row r="1282" ht="15"/>
    <row r="1283" ht="15"/>
    <row r="1284" ht="15"/>
    <row r="1285" ht="15"/>
    <row r="1286" ht="15"/>
    <row r="1287" ht="15"/>
    <row r="1288" ht="15"/>
    <row r="1289" ht="15"/>
    <row r="1290" ht="15"/>
    <row r="1291" ht="15"/>
    <row r="1292" ht="15"/>
    <row r="1293" ht="15"/>
    <row r="1294" ht="15"/>
    <row r="1295" ht="15"/>
    <row r="1296" ht="15"/>
    <row r="1297" ht="15"/>
    <row r="1298" ht="15"/>
    <row r="1299" ht="15"/>
    <row r="1300" ht="15"/>
    <row r="1301" ht="15"/>
    <row r="1302" ht="15"/>
    <row r="1303" ht="15"/>
    <row r="1304" ht="15"/>
    <row r="1305" ht="15"/>
    <row r="1306" ht="15"/>
    <row r="1307" ht="15"/>
    <row r="1308" ht="15"/>
    <row r="1309" ht="15"/>
    <row r="1310" ht="15"/>
    <row r="1311" ht="15"/>
    <row r="1312" ht="15"/>
    <row r="1313" ht="15"/>
    <row r="1314" ht="15"/>
    <row r="1315" ht="15"/>
    <row r="1316" ht="15"/>
    <row r="1317" ht="15"/>
    <row r="1318" ht="15"/>
    <row r="1319" ht="15"/>
    <row r="1320" ht="15"/>
    <row r="1321" ht="15"/>
    <row r="1322" ht="15"/>
    <row r="1323" ht="15"/>
    <row r="1324" ht="15"/>
    <row r="1325" ht="15"/>
    <row r="1326" ht="15"/>
    <row r="1327" ht="15"/>
    <row r="1328" ht="15"/>
    <row r="1329" ht="15"/>
    <row r="1330" ht="15"/>
    <row r="1331" ht="15"/>
    <row r="1332" ht="15"/>
    <row r="1333" ht="15"/>
    <row r="1334" ht="15"/>
    <row r="1335" ht="15"/>
    <row r="1336" ht="15"/>
    <row r="1337" ht="15"/>
    <row r="1338" ht="15"/>
    <row r="1339" ht="15"/>
    <row r="1340" ht="15"/>
    <row r="1341" ht="15"/>
    <row r="1342" ht="15"/>
    <row r="1343" ht="15"/>
    <row r="1344" ht="15"/>
    <row r="1345" ht="15"/>
    <row r="1346" ht="15"/>
    <row r="1347" ht="15"/>
    <row r="1348" ht="15"/>
    <row r="1349" ht="15"/>
    <row r="1350" ht="15"/>
    <row r="1351" ht="15"/>
    <row r="1352" ht="15"/>
    <row r="1353" ht="15"/>
    <row r="1354" ht="15"/>
    <row r="1355" ht="15"/>
    <row r="1356" ht="15"/>
    <row r="1357" ht="15"/>
    <row r="1358" ht="15"/>
    <row r="1359" ht="15"/>
    <row r="1360" ht="15"/>
    <row r="1361" ht="15"/>
    <row r="1362" ht="15"/>
    <row r="1363" ht="15"/>
    <row r="1364" ht="15"/>
    <row r="1365" ht="15"/>
    <row r="1366" ht="15"/>
    <row r="1367" ht="15"/>
    <row r="1368" ht="15"/>
    <row r="1369" ht="15"/>
    <row r="1370" ht="15"/>
    <row r="1371" ht="15"/>
    <row r="1372" ht="15"/>
    <row r="1373" ht="15"/>
    <row r="1374" ht="15"/>
    <row r="1375" ht="15"/>
    <row r="1376" ht="15"/>
    <row r="1377" ht="15"/>
    <row r="1378" ht="15"/>
    <row r="1379" ht="15"/>
    <row r="1380" ht="15"/>
    <row r="1381" ht="15"/>
    <row r="1382" ht="15"/>
    <row r="1383" ht="15"/>
    <row r="1384" ht="15"/>
    <row r="1385" ht="15"/>
    <row r="1386" ht="15"/>
    <row r="1387" ht="15"/>
    <row r="1388" ht="15"/>
    <row r="1389" ht="15"/>
    <row r="1390" ht="15"/>
    <row r="1391" ht="15"/>
    <row r="1392" ht="15"/>
    <row r="1393" ht="15"/>
    <row r="1394" ht="15"/>
    <row r="1395" ht="15"/>
    <row r="1396" ht="15"/>
    <row r="1397" ht="15"/>
    <row r="1398" ht="15"/>
    <row r="1399" ht="15"/>
    <row r="1400" ht="15"/>
    <row r="1401" ht="15"/>
    <row r="1402" ht="15"/>
    <row r="1403" ht="15"/>
    <row r="1404" ht="15"/>
    <row r="1405" ht="15"/>
    <row r="1406" ht="15"/>
    <row r="1407" ht="15"/>
    <row r="1408" ht="15"/>
    <row r="1409" ht="15"/>
    <row r="1410" ht="15"/>
    <row r="1411" ht="15"/>
    <row r="1412" ht="15"/>
    <row r="1413" ht="15"/>
    <row r="1414" ht="15"/>
    <row r="1415" ht="15"/>
    <row r="1416" ht="15"/>
    <row r="1417" ht="15"/>
    <row r="1418" ht="15"/>
    <row r="1419" ht="15"/>
    <row r="1420" ht="15"/>
    <row r="1421" ht="15"/>
    <row r="1422" ht="15"/>
    <row r="1423" ht="15"/>
    <row r="1424" ht="15"/>
    <row r="1425" ht="15"/>
    <row r="1426" ht="15"/>
    <row r="1427" ht="15"/>
    <row r="1428" ht="15"/>
    <row r="1429" ht="15"/>
    <row r="1430" ht="15"/>
    <row r="1431" ht="15"/>
    <row r="1432" ht="15"/>
    <row r="1433" ht="15"/>
    <row r="1434" ht="15"/>
    <row r="1435" ht="15"/>
    <row r="1436" ht="15"/>
    <row r="1437" ht="15"/>
    <row r="1438" ht="15"/>
    <row r="1439" ht="15"/>
    <row r="1440" ht="15"/>
    <row r="1441" ht="15"/>
    <row r="1442" ht="15"/>
    <row r="1443" ht="15"/>
    <row r="1444" ht="15"/>
    <row r="1445" ht="15"/>
    <row r="1446" ht="15"/>
    <row r="1447" ht="15"/>
    <row r="1448" ht="15"/>
    <row r="1449" ht="15"/>
    <row r="1450" ht="15"/>
    <row r="1451" ht="15"/>
    <row r="1452" ht="15"/>
    <row r="1453" ht="15"/>
    <row r="1454" ht="15"/>
    <row r="1455" ht="15"/>
    <row r="1456" ht="15"/>
    <row r="1457" ht="15"/>
    <row r="1458" ht="15"/>
    <row r="1459" ht="15"/>
    <row r="1460" ht="15"/>
    <row r="1461" ht="15"/>
    <row r="1462" ht="15"/>
    <row r="1463" ht="15"/>
    <row r="1464" ht="15"/>
    <row r="1465" ht="15"/>
    <row r="1466" ht="15"/>
    <row r="1467" ht="15"/>
    <row r="1468" ht="15"/>
    <row r="1469" ht="15"/>
    <row r="1470" ht="15"/>
    <row r="1471" ht="15"/>
    <row r="1472" ht="15"/>
    <row r="1473" ht="15"/>
    <row r="1474" ht="15"/>
    <row r="1475" ht="15"/>
    <row r="1476" ht="15"/>
    <row r="1477" ht="15"/>
    <row r="1478" ht="15"/>
    <row r="1479" ht="15"/>
    <row r="1480" ht="15"/>
    <row r="1481" ht="15"/>
    <row r="1482" ht="15"/>
    <row r="1483" ht="15"/>
    <row r="1484" ht="15"/>
    <row r="1485" ht="15"/>
    <row r="1486" ht="15"/>
    <row r="1487" ht="15"/>
    <row r="1488" ht="15"/>
    <row r="1489" ht="15"/>
    <row r="1490" ht="15"/>
    <row r="1491" ht="15"/>
    <row r="1492" ht="15"/>
    <row r="1493" ht="15"/>
    <row r="1494" ht="15"/>
    <row r="1495" ht="15"/>
    <row r="1496" ht="15"/>
    <row r="1497" ht="15"/>
    <row r="1498" ht="15"/>
    <row r="1499" ht="15"/>
    <row r="1500" ht="15"/>
    <row r="1501" ht="15"/>
    <row r="1502" ht="15"/>
    <row r="1503" ht="15"/>
    <row r="1504" ht="15"/>
    <row r="1505" ht="15"/>
    <row r="1506" ht="15"/>
    <row r="1507" ht="15"/>
    <row r="1508" ht="15"/>
    <row r="1509" ht="15"/>
    <row r="1510" ht="15"/>
    <row r="1511" ht="15"/>
    <row r="1512" ht="15"/>
    <row r="1513" ht="15"/>
    <row r="1514" ht="15"/>
    <row r="1515" ht="15"/>
    <row r="1516" ht="15"/>
    <row r="1517" ht="15"/>
    <row r="1518" ht="15"/>
    <row r="1519" ht="15"/>
    <row r="1520" ht="15"/>
    <row r="1521" ht="15"/>
    <row r="1522" ht="15"/>
    <row r="1523" ht="15"/>
    <row r="1524" ht="15"/>
    <row r="1525" ht="15"/>
    <row r="1526" ht="15"/>
    <row r="1527" ht="15"/>
    <row r="1528" ht="15"/>
    <row r="1529" ht="15"/>
    <row r="1530" ht="15"/>
    <row r="1531" ht="15"/>
    <row r="1532" ht="15"/>
    <row r="1533" ht="15"/>
    <row r="1534" ht="15"/>
    <row r="1535" ht="15"/>
    <row r="1536" ht="15"/>
    <row r="1537" ht="15"/>
    <row r="1538" ht="15"/>
    <row r="1539" ht="15"/>
    <row r="1540" ht="15"/>
    <row r="1541" ht="15"/>
    <row r="1542" ht="15"/>
    <row r="1543" ht="15"/>
    <row r="1544" ht="15"/>
    <row r="1545" ht="15"/>
    <row r="1546" ht="15"/>
    <row r="1547" ht="15"/>
    <row r="1548" ht="15"/>
    <row r="1549" ht="15"/>
    <row r="1550" ht="15"/>
    <row r="1551" ht="15"/>
    <row r="1552" ht="15"/>
    <row r="1553" ht="15"/>
    <row r="1554" ht="15"/>
    <row r="1555" ht="15"/>
    <row r="1556" ht="15"/>
    <row r="1557" ht="15"/>
    <row r="1558" ht="15"/>
    <row r="1559" ht="15"/>
    <row r="1560" ht="15"/>
    <row r="1561" ht="15"/>
    <row r="1562" ht="15"/>
    <row r="1563" ht="15"/>
    <row r="1564" ht="15"/>
    <row r="1565" ht="15"/>
    <row r="1566" ht="15"/>
    <row r="1567" ht="15"/>
    <row r="1568" ht="15"/>
    <row r="1569" ht="15"/>
    <row r="1570" ht="15"/>
    <row r="1571" ht="15"/>
    <row r="1572" ht="15"/>
    <row r="1573" ht="15"/>
    <row r="1574" ht="15"/>
    <row r="1575" ht="15"/>
    <row r="1576" ht="15"/>
    <row r="1577" ht="15"/>
    <row r="1578" ht="15"/>
    <row r="1579" ht="15"/>
    <row r="1580" ht="15"/>
    <row r="1581" ht="15"/>
    <row r="1582" ht="15"/>
    <row r="1583" ht="15"/>
    <row r="1584" ht="15"/>
    <row r="1585" ht="15"/>
    <row r="1586" ht="15"/>
    <row r="1587" ht="15"/>
    <row r="1588" ht="15"/>
    <row r="1589" ht="15"/>
    <row r="1590" ht="15"/>
    <row r="1591" ht="15"/>
    <row r="1592" ht="15"/>
    <row r="1593" ht="15"/>
    <row r="1594" ht="15"/>
    <row r="1595" ht="15"/>
    <row r="1596" ht="15"/>
    <row r="1597" ht="15"/>
    <row r="1598" ht="15"/>
    <row r="1599" ht="15"/>
    <row r="1600" ht="15"/>
    <row r="1601" ht="15"/>
    <row r="1602" ht="15"/>
    <row r="1603" ht="15"/>
    <row r="1604" ht="15"/>
    <row r="1605" ht="15"/>
    <row r="1606" ht="15"/>
    <row r="1607" ht="15"/>
    <row r="1608" ht="15"/>
    <row r="1609" ht="15"/>
    <row r="1610" ht="15"/>
    <row r="1611" ht="15"/>
    <row r="1612" ht="15"/>
    <row r="1613" ht="15"/>
    <row r="1614" ht="15"/>
    <row r="1615" ht="15"/>
    <row r="1616" ht="15"/>
    <row r="1617" ht="15"/>
    <row r="1618" ht="15"/>
    <row r="1619" ht="15"/>
    <row r="1620" ht="15"/>
    <row r="1621" ht="15"/>
    <row r="1622" ht="15"/>
    <row r="1623" ht="15"/>
    <row r="1624" ht="15"/>
    <row r="1625" ht="15"/>
    <row r="1626" ht="15"/>
    <row r="1627" ht="15"/>
    <row r="1628" ht="15"/>
    <row r="1629" ht="15"/>
    <row r="1630" ht="15"/>
    <row r="1631" ht="15"/>
    <row r="1632" ht="15"/>
    <row r="1633" ht="15"/>
    <row r="1634" ht="15"/>
    <row r="1635" ht="15"/>
    <row r="1636" ht="15"/>
    <row r="1637" ht="15"/>
    <row r="1638" ht="15"/>
    <row r="1639" ht="15"/>
    <row r="1640" ht="15"/>
    <row r="1641" ht="15"/>
    <row r="1642" ht="15"/>
    <row r="1643" ht="15"/>
    <row r="1644" ht="15"/>
    <row r="1645" ht="15"/>
    <row r="1646" ht="15"/>
    <row r="1647" ht="15"/>
    <row r="1648" ht="15"/>
    <row r="1649" ht="15"/>
    <row r="1650" ht="15"/>
    <row r="1651" ht="15"/>
    <row r="1652" ht="15"/>
    <row r="1653" ht="15"/>
    <row r="1654" ht="15"/>
    <row r="1655" ht="15"/>
    <row r="1656" ht="15"/>
    <row r="1657" ht="15"/>
    <row r="1658" ht="15"/>
    <row r="1659" ht="15"/>
    <row r="1660" ht="15"/>
    <row r="1661" ht="15"/>
    <row r="1662" ht="15"/>
    <row r="1663" ht="15"/>
    <row r="1664" ht="15"/>
    <row r="1665" ht="15"/>
    <row r="1666" ht="15"/>
    <row r="1667" ht="15"/>
    <row r="1668" ht="15"/>
    <row r="1669" ht="15"/>
    <row r="1670" ht="15"/>
    <row r="1671" ht="15"/>
    <row r="1672" ht="15"/>
    <row r="1673" ht="15"/>
    <row r="1674" ht="15"/>
    <row r="1675" ht="15"/>
    <row r="1676" ht="15"/>
    <row r="1677" ht="15"/>
    <row r="1678" ht="15"/>
    <row r="1679" ht="15"/>
    <row r="1680" ht="15"/>
    <row r="1681" ht="15"/>
    <row r="1682" ht="15"/>
    <row r="1683" ht="15"/>
    <row r="1684" ht="15"/>
    <row r="1685" ht="15"/>
    <row r="1686" ht="15"/>
    <row r="1687" ht="15"/>
    <row r="1688" ht="15"/>
    <row r="1689" ht="15"/>
    <row r="1690" ht="15"/>
    <row r="1691" ht="15"/>
    <row r="1692" ht="15"/>
    <row r="1693" ht="15"/>
    <row r="1694" ht="15"/>
    <row r="1695" ht="15"/>
    <row r="1696" ht="15"/>
    <row r="1697" ht="15"/>
    <row r="1698" ht="15"/>
    <row r="1699" ht="15"/>
    <row r="1700" ht="15"/>
    <row r="1701" ht="15"/>
    <row r="1702" ht="15"/>
    <row r="1703" ht="15"/>
    <row r="1704" ht="15"/>
    <row r="1705" ht="15"/>
    <row r="1706" ht="15"/>
    <row r="1707" ht="15"/>
    <row r="1708" ht="15"/>
    <row r="1709" ht="15"/>
    <row r="1710" ht="15"/>
    <row r="1711" ht="15"/>
    <row r="1712" ht="15"/>
    <row r="1713" ht="15"/>
    <row r="1714" ht="15"/>
    <row r="1715" ht="15"/>
    <row r="1716" ht="15"/>
    <row r="1717" ht="15"/>
    <row r="1718" ht="15"/>
    <row r="1719" ht="15"/>
    <row r="1720" ht="15"/>
    <row r="1721" ht="15"/>
    <row r="1722" ht="15"/>
    <row r="1723" ht="15"/>
    <row r="1724" ht="15"/>
    <row r="1725" ht="15"/>
    <row r="1726" ht="15"/>
    <row r="1727" ht="15"/>
    <row r="1728" ht="15"/>
    <row r="1729" ht="15"/>
    <row r="1730" ht="15"/>
    <row r="1731" ht="15"/>
    <row r="1732" ht="15"/>
    <row r="1733" ht="15"/>
    <row r="1734" ht="15"/>
    <row r="1735" ht="15"/>
    <row r="1736" ht="15"/>
    <row r="1737" ht="15"/>
    <row r="1738" ht="15"/>
    <row r="1739" ht="15"/>
    <row r="1740" ht="15"/>
    <row r="1741" ht="15"/>
    <row r="1742" ht="15"/>
    <row r="1743" ht="15"/>
    <row r="1744" ht="15"/>
    <row r="1745" ht="15"/>
    <row r="1746" ht="15"/>
    <row r="1747" ht="15"/>
    <row r="1748" ht="15"/>
    <row r="1749" ht="15"/>
    <row r="1750" ht="15"/>
    <row r="1751" ht="15"/>
    <row r="1752" ht="15"/>
    <row r="1753" ht="15"/>
    <row r="1754" ht="15"/>
    <row r="1755" ht="15"/>
    <row r="1756" ht="15"/>
    <row r="1757" ht="15"/>
    <row r="1758" ht="15"/>
    <row r="1759" ht="15"/>
    <row r="1760" ht="15"/>
    <row r="1761" ht="15"/>
    <row r="1762" ht="15"/>
    <row r="1763" ht="15"/>
    <row r="1764" ht="15"/>
    <row r="1765" ht="15"/>
    <row r="1766" ht="15"/>
    <row r="1767" ht="15"/>
    <row r="1768" ht="15"/>
    <row r="1769" ht="15"/>
    <row r="1770" ht="15"/>
    <row r="1771" ht="15"/>
    <row r="1772" ht="15"/>
    <row r="1773" ht="15"/>
    <row r="1774" ht="15"/>
    <row r="1775" ht="15"/>
    <row r="1776" ht="15"/>
    <row r="1777" ht="15"/>
    <row r="1778" ht="15"/>
    <row r="1779" ht="15"/>
    <row r="1780" ht="15"/>
    <row r="1781" ht="15"/>
    <row r="1782" ht="15"/>
    <row r="1783" ht="15"/>
    <row r="1784" ht="15"/>
    <row r="1785" ht="15"/>
    <row r="1786" ht="15"/>
    <row r="1787" ht="15"/>
    <row r="1788" ht="15"/>
    <row r="1789" ht="15"/>
    <row r="1790" ht="15"/>
    <row r="1791" ht="15"/>
    <row r="1792" ht="15"/>
    <row r="1793" ht="15"/>
    <row r="1794" ht="15"/>
    <row r="1795" ht="15"/>
    <row r="1796" ht="15"/>
    <row r="1797" ht="15"/>
    <row r="1798" ht="15"/>
    <row r="1799" ht="15"/>
    <row r="1800" ht="15"/>
    <row r="1801" ht="15"/>
    <row r="1802" ht="15"/>
    <row r="1803" ht="15"/>
    <row r="1804" ht="15"/>
    <row r="1805" ht="15"/>
    <row r="1806" ht="15"/>
    <row r="1807" ht="15"/>
    <row r="1808" ht="15"/>
    <row r="1809" ht="15"/>
    <row r="1810" ht="15"/>
    <row r="1811" ht="15"/>
    <row r="1812" ht="15"/>
    <row r="1813" ht="15"/>
    <row r="1814" ht="15"/>
    <row r="1815" ht="15"/>
    <row r="1816" ht="15"/>
    <row r="1817" ht="15"/>
    <row r="1818" ht="15"/>
    <row r="1819" ht="15"/>
    <row r="1820" ht="15"/>
    <row r="1821" ht="15"/>
    <row r="1822" ht="15"/>
    <row r="1823" ht="15"/>
    <row r="1824" ht="15"/>
    <row r="1825" ht="15"/>
    <row r="1826" ht="15"/>
    <row r="1827" ht="15"/>
    <row r="1828" ht="15"/>
    <row r="1829" ht="15"/>
    <row r="1830" ht="15"/>
    <row r="1831" ht="15"/>
    <row r="1832" ht="15"/>
    <row r="1833" ht="15"/>
    <row r="1834" ht="15"/>
    <row r="1835" ht="15"/>
    <row r="1836" ht="15"/>
    <row r="1837" ht="15"/>
    <row r="1838" ht="15"/>
    <row r="1839" ht="15"/>
    <row r="1840" ht="15"/>
    <row r="1841" ht="15"/>
    <row r="1842" ht="15"/>
    <row r="1843" ht="15"/>
    <row r="1844" ht="15"/>
    <row r="1845" ht="15"/>
    <row r="1846" ht="15"/>
    <row r="1847" ht="15"/>
    <row r="1848" ht="15"/>
    <row r="1849" ht="15"/>
    <row r="1850" ht="15"/>
    <row r="1851" ht="15"/>
    <row r="1852" ht="15"/>
    <row r="1853" ht="15"/>
    <row r="1854" ht="15"/>
    <row r="1855" ht="15"/>
    <row r="1856" ht="15"/>
    <row r="1857" ht="15"/>
    <row r="1858" ht="15"/>
    <row r="1859" ht="15"/>
    <row r="1860" ht="15"/>
    <row r="1861" ht="15"/>
    <row r="1862" ht="15"/>
    <row r="1863" ht="15"/>
    <row r="1864" ht="15"/>
    <row r="1865" ht="15"/>
    <row r="1866" ht="15"/>
    <row r="1867" ht="15"/>
    <row r="1868" ht="15"/>
    <row r="1869" ht="15"/>
    <row r="1870" ht="15"/>
    <row r="1871" ht="15"/>
    <row r="1872" ht="15"/>
    <row r="1873" ht="15"/>
    <row r="1874" ht="15"/>
    <row r="1875" ht="15"/>
    <row r="1876" ht="15"/>
    <row r="1877" ht="15"/>
    <row r="1878" ht="15"/>
    <row r="1879" ht="15"/>
    <row r="1880" ht="15"/>
    <row r="1881" ht="15"/>
    <row r="1882" ht="15"/>
    <row r="1883" ht="15"/>
    <row r="1884" ht="15"/>
    <row r="1885" ht="15"/>
    <row r="1886" ht="15"/>
    <row r="1887" ht="15"/>
    <row r="1888" ht="15"/>
    <row r="1889" ht="15"/>
    <row r="1890" ht="15"/>
    <row r="1891" ht="15"/>
    <row r="1892" ht="15"/>
    <row r="1893" ht="15"/>
    <row r="1894" ht="15"/>
    <row r="1895" ht="15"/>
    <row r="1896" ht="15"/>
    <row r="1897" ht="15"/>
    <row r="1898" ht="15"/>
    <row r="1899" ht="15"/>
    <row r="1900" ht="15"/>
    <row r="1901" ht="15"/>
    <row r="1902" ht="15"/>
    <row r="1903" ht="15"/>
    <row r="1904" ht="15"/>
    <row r="1905" ht="15"/>
    <row r="1906" ht="15"/>
    <row r="1907" ht="15"/>
    <row r="1908" ht="15"/>
    <row r="1909" ht="15"/>
    <row r="1910" ht="15"/>
    <row r="1911" ht="15"/>
    <row r="1912" ht="15"/>
    <row r="1913" ht="15"/>
    <row r="1914" ht="15"/>
    <row r="1915" ht="15"/>
    <row r="1916" ht="15"/>
    <row r="1917" ht="15"/>
    <row r="1918" ht="15"/>
    <row r="1919" ht="15"/>
    <row r="1920" ht="15"/>
    <row r="1921" ht="15"/>
    <row r="1922" ht="15"/>
    <row r="1923" ht="15"/>
    <row r="1924" ht="15"/>
    <row r="1925" ht="15"/>
    <row r="1926" ht="15"/>
    <row r="1927" ht="15"/>
    <row r="1928" ht="15"/>
    <row r="1929" ht="15"/>
    <row r="1930" ht="15"/>
    <row r="1931" ht="15"/>
    <row r="1932" ht="15"/>
    <row r="1933" ht="15"/>
    <row r="1934" ht="15"/>
    <row r="1935" ht="15"/>
    <row r="1936" ht="15"/>
    <row r="1937" ht="15"/>
    <row r="1938" ht="15"/>
    <row r="1939" ht="15"/>
    <row r="1940" ht="15"/>
    <row r="1941" ht="15"/>
    <row r="1942" ht="15"/>
    <row r="1943" ht="15"/>
    <row r="1944" ht="15"/>
    <row r="1945" ht="15"/>
    <row r="1946" ht="15"/>
    <row r="1947" ht="15"/>
    <row r="1948" ht="15"/>
    <row r="1949" ht="15"/>
    <row r="1950" ht="15"/>
    <row r="1951" ht="15"/>
    <row r="1952" ht="15"/>
    <row r="1953" ht="15"/>
    <row r="1954" ht="15"/>
    <row r="1955" ht="15"/>
    <row r="1956" ht="15"/>
    <row r="1957" ht="15"/>
    <row r="1958" ht="15"/>
    <row r="1959" ht="15"/>
    <row r="1960" ht="15"/>
    <row r="1961" ht="15"/>
    <row r="1962" ht="15"/>
    <row r="1963" ht="15"/>
    <row r="1964" ht="15"/>
    <row r="1965" ht="15"/>
    <row r="1966" ht="15"/>
    <row r="1967" ht="15"/>
    <row r="1968" ht="15"/>
    <row r="1969" ht="15"/>
    <row r="1970" ht="15"/>
    <row r="1971" ht="15"/>
    <row r="1972" ht="15"/>
    <row r="1973" ht="15"/>
    <row r="1974" ht="15"/>
    <row r="1975" ht="15"/>
    <row r="1976" ht="15"/>
    <row r="1977" ht="15"/>
    <row r="1978" ht="15"/>
    <row r="1979" ht="15"/>
    <row r="1980" ht="15"/>
    <row r="1981" ht="15"/>
    <row r="1982" ht="15"/>
    <row r="1983" ht="15"/>
    <row r="1984" ht="15"/>
    <row r="1985" ht="15"/>
    <row r="1986" ht="15"/>
    <row r="1987" ht="15"/>
    <row r="1988" ht="15"/>
    <row r="1989" ht="15"/>
    <row r="1990" ht="15"/>
    <row r="1991" ht="15"/>
    <row r="1992" ht="15"/>
    <row r="1993" ht="15"/>
    <row r="1994" ht="15"/>
    <row r="1995" ht="15"/>
    <row r="1996" ht="15"/>
    <row r="1997" ht="15"/>
    <row r="1998" ht="15"/>
    <row r="1999" ht="15"/>
    <row r="2000" ht="15"/>
    <row r="2001" ht="15"/>
    <row r="2002" ht="15"/>
    <row r="2003" ht="15"/>
    <row r="2004" ht="15"/>
    <row r="2005" ht="15"/>
    <row r="2006" ht="15"/>
    <row r="2007" ht="15"/>
    <row r="2008" ht="15"/>
    <row r="2009" ht="15"/>
    <row r="2010" ht="15"/>
    <row r="2011" ht="15"/>
    <row r="2012" ht="15"/>
    <row r="2013" ht="15"/>
    <row r="2014" ht="15"/>
    <row r="2015" ht="15"/>
    <row r="2016" ht="15"/>
    <row r="2017" ht="15"/>
    <row r="2018" ht="15"/>
    <row r="2019" ht="15"/>
    <row r="2020" ht="15"/>
    <row r="2021" ht="15"/>
    <row r="2022" ht="15"/>
    <row r="2023" ht="15"/>
    <row r="2024" ht="15"/>
    <row r="2025" ht="15"/>
    <row r="2026" ht="15"/>
    <row r="2027" ht="15"/>
    <row r="2028" ht="15"/>
    <row r="2029" ht="15"/>
    <row r="2030" ht="15"/>
    <row r="2031" ht="15"/>
    <row r="2032" ht="15"/>
    <row r="2033" ht="15"/>
    <row r="2034" ht="15"/>
    <row r="2035" ht="15"/>
    <row r="2036" ht="15"/>
    <row r="2037" ht="15"/>
    <row r="2038" ht="15"/>
    <row r="2039" ht="15"/>
    <row r="2040" ht="15"/>
    <row r="2041" ht="15"/>
    <row r="2042" ht="15"/>
    <row r="2043" ht="15"/>
    <row r="2044" ht="15"/>
    <row r="2045" ht="15"/>
    <row r="2046" ht="15"/>
    <row r="2047" ht="15"/>
    <row r="2048" ht="15"/>
    <row r="2049" ht="15"/>
    <row r="2050" ht="15"/>
    <row r="2051" ht="15"/>
    <row r="2052" ht="15"/>
    <row r="2053" ht="15"/>
    <row r="2054" ht="15"/>
    <row r="2055" ht="15"/>
    <row r="2056" ht="15"/>
    <row r="2057" ht="15"/>
    <row r="2058" ht="15"/>
    <row r="2059" ht="15"/>
    <row r="2060" ht="15"/>
    <row r="2061" ht="15"/>
    <row r="2062" ht="15"/>
    <row r="2063" ht="15"/>
    <row r="2064" ht="15"/>
    <row r="2065" ht="15"/>
    <row r="2066" ht="15"/>
    <row r="2067" ht="15"/>
    <row r="2068" ht="15"/>
    <row r="2069" ht="15"/>
    <row r="2070" ht="15"/>
    <row r="2071" ht="15"/>
    <row r="2072" ht="15"/>
    <row r="2073" ht="15"/>
    <row r="2074" ht="15"/>
    <row r="2075" ht="15"/>
    <row r="2076" ht="15"/>
    <row r="2077" ht="15"/>
    <row r="2078" ht="15"/>
    <row r="2079" ht="15"/>
    <row r="2080" ht="15"/>
    <row r="2081" ht="15"/>
    <row r="2082" ht="15"/>
    <row r="2083" ht="15"/>
    <row r="2084" ht="15"/>
    <row r="2085" ht="15"/>
    <row r="2086" ht="15"/>
    <row r="2087" ht="15"/>
    <row r="2088" ht="15"/>
    <row r="2089" ht="15"/>
    <row r="2090" ht="15"/>
    <row r="2091" ht="15"/>
    <row r="2092" ht="15"/>
    <row r="2093" ht="15"/>
    <row r="2094" ht="15"/>
    <row r="2095" ht="15"/>
    <row r="2096" ht="15"/>
    <row r="2097" ht="15"/>
    <row r="2098" ht="15"/>
    <row r="2099" ht="15"/>
    <row r="2100" ht="15"/>
    <row r="2101" ht="15"/>
    <row r="2102" ht="15"/>
    <row r="2103" ht="15"/>
    <row r="2104" ht="15"/>
    <row r="2105" ht="15"/>
    <row r="2106" ht="15"/>
    <row r="2107" ht="15"/>
    <row r="2108" ht="15"/>
    <row r="2109" ht="15"/>
    <row r="2110" ht="15"/>
    <row r="2111" ht="15"/>
    <row r="2112" ht="15"/>
    <row r="2113" ht="15"/>
    <row r="2114" ht="15"/>
    <row r="2115" ht="15"/>
    <row r="2116" ht="15"/>
    <row r="2117" ht="15"/>
    <row r="2118" ht="15"/>
    <row r="2119" ht="15"/>
    <row r="2120" ht="15"/>
    <row r="2121" ht="15"/>
    <row r="2122" ht="15"/>
    <row r="2123" ht="15"/>
    <row r="2124" ht="15"/>
    <row r="2125" ht="15"/>
    <row r="2126" ht="15"/>
    <row r="2127" ht="15"/>
    <row r="2128" ht="15"/>
    <row r="2129" ht="15"/>
    <row r="2130" ht="15"/>
    <row r="2131" ht="15"/>
    <row r="2132" ht="15"/>
    <row r="2133" ht="15"/>
    <row r="2134" ht="15"/>
    <row r="2135" ht="15"/>
    <row r="2136" ht="15"/>
    <row r="2137" ht="15"/>
    <row r="2138" ht="15"/>
    <row r="2139" ht="15"/>
    <row r="2140" ht="15"/>
    <row r="2141" ht="15"/>
    <row r="2142" ht="15"/>
    <row r="2143" ht="15"/>
    <row r="2144" ht="15"/>
    <row r="2145" ht="15"/>
    <row r="2146" ht="15"/>
    <row r="2147" ht="15"/>
    <row r="2148" ht="15"/>
    <row r="2149" ht="15"/>
    <row r="2150" ht="15"/>
    <row r="2151" ht="15"/>
    <row r="2152" ht="15"/>
    <row r="2153" ht="15"/>
    <row r="2154" ht="15"/>
    <row r="2155" ht="15"/>
    <row r="2156" ht="15"/>
    <row r="2157" ht="15"/>
    <row r="2158" ht="15"/>
    <row r="2159" ht="15"/>
    <row r="2160" ht="15"/>
    <row r="2161" ht="15"/>
    <row r="2162" ht="15"/>
    <row r="2163" ht="15"/>
    <row r="2164" ht="15"/>
    <row r="2165" ht="15"/>
    <row r="2166" ht="15"/>
    <row r="2167" ht="15"/>
    <row r="2168" ht="15"/>
    <row r="2169" ht="15"/>
    <row r="2170" ht="15"/>
    <row r="2171" ht="15"/>
    <row r="2172" ht="15"/>
    <row r="2173" ht="15"/>
    <row r="2174" ht="15"/>
    <row r="2175" ht="15"/>
    <row r="2176" ht="15"/>
    <row r="2177" ht="15"/>
    <row r="2178" ht="15"/>
    <row r="2179" ht="15"/>
    <row r="2180" ht="15"/>
    <row r="2181" ht="15"/>
    <row r="2182" ht="15"/>
    <row r="2183" ht="15"/>
    <row r="2184" ht="15"/>
    <row r="2185" ht="15"/>
    <row r="2186" ht="15"/>
    <row r="2187" ht="15"/>
    <row r="2188" ht="15"/>
    <row r="2189" ht="15"/>
    <row r="2190" ht="15"/>
    <row r="2191" ht="15"/>
    <row r="2192" ht="15"/>
    <row r="2193" ht="15"/>
    <row r="2194" ht="15"/>
    <row r="2195" ht="15"/>
    <row r="2196" ht="15"/>
    <row r="2197" ht="15"/>
    <row r="2198" ht="15"/>
    <row r="2199" ht="15"/>
    <row r="2200" ht="15"/>
    <row r="2201" ht="15"/>
    <row r="2202" ht="15"/>
    <row r="2203" ht="15"/>
    <row r="2204" ht="15"/>
    <row r="2205" ht="15"/>
    <row r="2206" ht="15"/>
    <row r="2207" ht="15"/>
    <row r="2208" ht="15"/>
    <row r="2209" ht="15"/>
    <row r="2210" ht="15"/>
    <row r="2211" ht="15"/>
    <row r="2212" ht="15"/>
    <row r="2213" ht="15"/>
    <row r="2214" ht="15"/>
    <row r="2215" ht="15"/>
    <row r="2216" ht="15"/>
    <row r="2217" ht="15"/>
    <row r="2218" ht="15"/>
    <row r="2219" ht="15"/>
    <row r="2220" ht="15"/>
    <row r="2221" ht="15"/>
    <row r="2222" ht="15"/>
    <row r="2223" ht="15"/>
    <row r="2224" ht="15"/>
    <row r="2225" ht="15"/>
    <row r="2226" ht="15"/>
    <row r="2227" ht="15"/>
    <row r="2228" ht="15"/>
    <row r="2229" ht="15"/>
    <row r="2230" ht="15"/>
    <row r="2231" ht="15"/>
    <row r="2232" ht="15"/>
    <row r="2233" ht="15"/>
    <row r="2234" ht="15"/>
    <row r="2235" ht="15"/>
    <row r="2236" ht="15"/>
    <row r="2237" ht="15"/>
    <row r="2238" ht="15"/>
    <row r="2239" ht="15"/>
    <row r="2240" ht="15"/>
    <row r="2241" ht="15"/>
    <row r="2242" ht="15"/>
    <row r="2243" ht="15"/>
    <row r="2244" ht="15"/>
    <row r="2245" ht="15"/>
    <row r="2246" ht="15"/>
    <row r="2247" ht="15"/>
    <row r="2248" ht="15"/>
    <row r="2249" ht="15"/>
    <row r="2250" ht="15"/>
    <row r="2251" ht="15"/>
    <row r="2252" ht="15"/>
    <row r="2253" ht="15"/>
    <row r="2254" ht="15"/>
    <row r="2255" ht="15"/>
    <row r="2256" ht="15"/>
    <row r="2257" ht="15"/>
    <row r="2258" ht="15"/>
    <row r="2259" ht="15"/>
    <row r="2260" ht="15"/>
    <row r="2261" ht="15"/>
    <row r="2262" ht="15"/>
    <row r="2263" ht="15"/>
    <row r="2264" ht="15"/>
    <row r="2265" ht="15"/>
    <row r="2266" ht="15"/>
    <row r="2267" ht="15"/>
    <row r="2268" ht="15"/>
    <row r="2269" ht="15"/>
    <row r="2270" ht="15"/>
    <row r="2271" ht="15"/>
    <row r="2272" ht="15"/>
    <row r="2273" ht="15"/>
    <row r="2274" ht="15"/>
    <row r="2275" ht="15"/>
    <row r="2276" ht="15"/>
    <row r="2277" ht="15"/>
    <row r="2278" ht="15"/>
    <row r="2279" ht="15"/>
    <row r="2280" ht="15"/>
    <row r="2281" ht="15"/>
    <row r="2282" ht="15"/>
    <row r="2283" ht="15"/>
    <row r="2284" ht="15"/>
    <row r="2285" ht="15"/>
    <row r="2286" ht="15"/>
    <row r="2287" ht="15"/>
    <row r="2288" ht="15"/>
    <row r="2289" ht="15"/>
    <row r="2290" ht="15"/>
    <row r="2291" ht="15"/>
    <row r="2292" ht="15"/>
    <row r="2293" ht="15"/>
    <row r="2294" ht="15"/>
    <row r="2295" ht="15"/>
    <row r="2296" ht="15"/>
    <row r="2297" ht="15"/>
    <row r="2298" ht="15"/>
    <row r="2299" ht="15"/>
    <row r="2300" ht="15"/>
    <row r="2301" ht="15"/>
    <row r="2302" ht="15"/>
    <row r="2303" ht="15"/>
    <row r="2304" ht="15"/>
    <row r="2305" ht="15"/>
    <row r="2306" ht="15"/>
    <row r="2307" ht="15"/>
    <row r="2308" ht="15"/>
    <row r="2309" ht="15"/>
    <row r="2310" ht="15"/>
    <row r="2311" ht="15"/>
    <row r="2312" ht="15"/>
    <row r="2313" ht="15"/>
    <row r="2314" ht="15"/>
    <row r="2315" ht="15"/>
    <row r="2316" ht="15"/>
    <row r="2317" ht="15"/>
    <row r="2318" ht="15"/>
    <row r="2319" ht="15"/>
    <row r="2320" ht="15"/>
    <row r="2321" ht="15"/>
    <row r="2322" ht="15"/>
    <row r="2323" ht="15"/>
    <row r="2324" ht="15"/>
    <row r="2325" ht="15"/>
    <row r="2326" ht="15"/>
    <row r="2327" ht="15"/>
    <row r="2328" ht="15"/>
    <row r="2329" ht="15"/>
    <row r="2330" ht="15"/>
    <row r="2331" ht="15"/>
    <row r="2332" ht="15"/>
    <row r="2333" ht="15"/>
    <row r="2334" ht="15"/>
    <row r="2335" ht="15"/>
    <row r="2336" ht="15"/>
    <row r="2337" ht="15"/>
    <row r="2338" ht="15"/>
    <row r="2339" ht="15"/>
    <row r="2340" ht="15"/>
    <row r="2341" ht="15"/>
    <row r="2342" ht="15"/>
    <row r="2343" ht="15"/>
    <row r="2344" ht="15"/>
    <row r="2345" ht="15"/>
    <row r="2346" ht="15"/>
    <row r="2347" ht="15"/>
    <row r="2348" ht="15"/>
    <row r="2349" ht="15"/>
    <row r="2350" ht="15"/>
    <row r="2351" ht="15"/>
    <row r="2352" ht="15"/>
    <row r="2353" ht="15"/>
    <row r="2354" ht="15"/>
    <row r="2355" ht="15"/>
    <row r="2356" ht="15"/>
    <row r="2357" ht="15"/>
    <row r="2358" ht="15"/>
    <row r="2359" ht="15"/>
    <row r="2360" ht="15"/>
    <row r="2361" ht="15"/>
    <row r="2362" ht="15"/>
    <row r="2363" ht="15"/>
    <row r="2364" ht="15"/>
    <row r="2365" ht="15"/>
    <row r="2366" ht="15"/>
    <row r="2367" ht="15"/>
    <row r="2368" ht="15"/>
    <row r="2369" ht="15"/>
    <row r="2370" ht="15"/>
    <row r="2371" ht="15"/>
    <row r="2372" ht="15"/>
    <row r="2373" ht="15"/>
    <row r="2374" ht="15"/>
    <row r="2375" ht="15"/>
    <row r="2376" ht="15"/>
    <row r="2377" ht="15"/>
    <row r="2378" ht="15"/>
    <row r="2379" ht="15"/>
    <row r="2380" ht="15"/>
    <row r="2381" ht="15"/>
    <row r="2382" ht="15"/>
    <row r="2383" ht="15"/>
    <row r="2384" ht="15"/>
    <row r="2385" ht="15"/>
    <row r="2386" ht="15"/>
    <row r="2387" ht="15"/>
    <row r="2388" ht="15"/>
    <row r="2389" ht="15"/>
    <row r="2390" ht="15"/>
    <row r="2391" ht="15"/>
    <row r="2392" ht="15"/>
    <row r="2393" ht="15"/>
    <row r="2394" ht="15"/>
    <row r="2395" ht="15"/>
    <row r="2396" ht="15"/>
    <row r="2397" ht="15"/>
    <row r="2398" ht="15"/>
    <row r="2399" ht="15"/>
    <row r="2400" ht="15"/>
    <row r="2401" ht="15"/>
    <row r="2402" ht="15"/>
    <row r="2403" ht="15"/>
    <row r="2404" ht="15"/>
    <row r="2405" ht="15"/>
    <row r="2406" ht="15"/>
    <row r="2407" ht="15"/>
    <row r="2408" ht="15"/>
    <row r="2409" ht="15"/>
    <row r="2410" ht="15"/>
    <row r="2411" ht="15"/>
    <row r="2412" ht="15"/>
    <row r="2413" ht="15"/>
    <row r="2414" ht="15"/>
    <row r="2415" ht="15"/>
    <row r="2416" ht="15"/>
    <row r="2417" ht="15"/>
    <row r="2418" ht="15"/>
    <row r="2419" ht="15"/>
    <row r="2420" ht="15"/>
    <row r="2421" ht="15"/>
    <row r="2422" ht="15"/>
    <row r="2423" ht="15"/>
    <row r="2424" ht="15"/>
    <row r="2425" ht="15"/>
    <row r="2426" ht="15"/>
    <row r="2427" ht="15"/>
    <row r="2428" ht="15"/>
    <row r="2429" ht="15"/>
    <row r="2430" ht="15"/>
    <row r="2431" ht="15"/>
    <row r="2432" ht="15"/>
    <row r="2433" ht="15"/>
    <row r="2434" ht="15"/>
    <row r="2435" ht="15"/>
    <row r="2436" ht="15"/>
    <row r="2437" ht="15"/>
    <row r="2438" ht="15"/>
    <row r="2439" ht="15"/>
    <row r="2440" ht="15"/>
    <row r="2441" ht="15"/>
    <row r="2442" ht="15"/>
    <row r="2443" ht="15"/>
    <row r="2444" ht="15"/>
    <row r="2445" ht="15"/>
    <row r="2446" ht="15"/>
    <row r="2447" ht="15"/>
    <row r="2448" ht="15"/>
    <row r="2449" ht="15"/>
    <row r="2450" ht="15"/>
    <row r="2451" ht="15"/>
    <row r="2452" ht="15"/>
    <row r="2453" ht="15"/>
    <row r="2454" ht="15"/>
    <row r="2455" ht="15"/>
    <row r="2456" ht="15"/>
    <row r="2457" ht="15"/>
    <row r="2458" ht="15"/>
    <row r="2459" ht="15"/>
    <row r="2460" ht="15"/>
    <row r="2461" ht="15"/>
    <row r="2462" ht="15"/>
    <row r="2463" ht="15"/>
    <row r="2464" ht="15"/>
    <row r="2465" ht="15"/>
    <row r="2466" ht="15"/>
    <row r="2467" ht="15"/>
    <row r="2468" ht="15"/>
    <row r="2469" ht="15"/>
    <row r="2470" ht="15"/>
    <row r="2471" ht="15"/>
    <row r="2472" ht="15"/>
    <row r="2473" ht="15"/>
    <row r="2474" ht="15"/>
    <row r="2475" ht="15"/>
    <row r="2476" ht="15"/>
    <row r="2477" ht="15"/>
    <row r="2478" ht="15"/>
    <row r="2479" ht="15"/>
    <row r="2480" ht="15"/>
    <row r="2481" ht="15"/>
    <row r="2482" ht="15"/>
    <row r="2483" ht="15"/>
    <row r="2484" ht="15"/>
    <row r="2485" ht="15"/>
    <row r="2486" ht="15"/>
    <row r="2487" ht="15"/>
    <row r="2488" ht="15"/>
    <row r="2489" ht="15"/>
    <row r="2490" ht="15"/>
    <row r="2491" ht="15"/>
    <row r="2492" ht="15"/>
    <row r="2493" ht="15"/>
    <row r="2494" ht="15"/>
    <row r="2495" ht="15"/>
    <row r="2496" ht="15"/>
    <row r="2497" ht="15"/>
    <row r="2498" ht="15"/>
    <row r="2499" ht="15"/>
    <row r="2500" ht="15"/>
    <row r="2501" ht="15"/>
    <row r="2502" ht="15"/>
    <row r="2503" ht="15"/>
    <row r="2504" ht="15"/>
    <row r="2505" ht="15"/>
    <row r="2506" ht="15"/>
    <row r="2507" ht="15"/>
    <row r="2508" ht="15"/>
    <row r="2509" ht="15"/>
    <row r="2510" ht="15"/>
    <row r="2511" ht="15"/>
    <row r="2512" ht="15"/>
    <row r="2513" ht="15"/>
    <row r="2514" ht="15"/>
    <row r="2515" ht="15"/>
    <row r="2516" ht="15"/>
    <row r="2517" ht="15"/>
    <row r="2518" ht="15"/>
    <row r="2519" ht="15"/>
    <row r="2520" ht="15"/>
    <row r="2521" ht="15"/>
    <row r="2522" ht="15"/>
    <row r="2523" ht="15"/>
    <row r="2524" ht="15"/>
    <row r="2525" ht="15"/>
    <row r="2526" ht="15"/>
    <row r="2527" ht="15"/>
    <row r="2528" ht="15"/>
    <row r="2529" ht="15"/>
    <row r="2530" ht="15"/>
    <row r="2531" ht="15"/>
    <row r="2532" ht="15"/>
    <row r="2533" ht="15"/>
    <row r="2534" ht="15"/>
    <row r="2535" ht="15"/>
    <row r="2536" ht="15"/>
    <row r="2537" ht="15"/>
    <row r="2538" ht="15"/>
    <row r="2539" ht="15"/>
    <row r="2540" ht="15"/>
    <row r="2541" ht="15"/>
    <row r="2542" ht="15"/>
    <row r="2543" ht="15"/>
    <row r="2544" ht="15"/>
    <row r="2545" ht="15"/>
    <row r="2546" ht="15"/>
    <row r="2547" ht="15"/>
    <row r="2548" ht="15"/>
    <row r="2549" ht="15"/>
    <row r="2550" ht="15"/>
    <row r="2551" ht="15"/>
    <row r="2552" ht="15"/>
    <row r="2553" ht="15"/>
    <row r="2554" ht="15"/>
    <row r="2555" ht="15"/>
    <row r="2556" ht="15"/>
    <row r="2557" ht="15"/>
    <row r="2558" ht="15"/>
    <row r="2559" ht="15"/>
    <row r="2560" ht="15"/>
    <row r="2561" ht="15"/>
    <row r="2562" ht="15"/>
    <row r="2563" ht="15"/>
    <row r="2564" ht="15"/>
    <row r="2565" ht="15"/>
    <row r="2566" ht="15"/>
    <row r="2567" ht="15"/>
    <row r="2568" ht="15"/>
    <row r="2569" ht="15"/>
    <row r="2570" ht="15"/>
    <row r="2571" ht="15"/>
    <row r="2572" ht="15"/>
    <row r="2573" ht="15"/>
    <row r="2574" ht="15"/>
    <row r="2575" ht="15"/>
    <row r="2576" ht="15"/>
    <row r="2577" ht="15"/>
    <row r="2578" ht="15"/>
    <row r="2579" ht="15"/>
    <row r="2580" ht="15"/>
    <row r="2581" ht="15"/>
    <row r="2582" ht="15"/>
    <row r="2583" ht="15"/>
    <row r="2584" ht="15"/>
    <row r="2585" ht="15"/>
    <row r="2586" ht="15"/>
    <row r="2587" ht="15"/>
    <row r="2588" ht="15"/>
    <row r="2589" ht="15"/>
    <row r="2590" ht="15"/>
    <row r="2591" ht="15"/>
    <row r="2592" ht="15"/>
    <row r="2593" ht="15"/>
    <row r="2594" ht="15"/>
    <row r="2595" ht="15"/>
    <row r="2596" ht="15"/>
    <row r="2597" ht="15"/>
    <row r="2598" ht="15"/>
    <row r="2599" ht="15"/>
    <row r="2600" ht="15"/>
    <row r="2601" ht="15"/>
    <row r="2602" ht="15"/>
    <row r="2603" ht="15"/>
    <row r="2604" ht="15"/>
    <row r="2605" ht="15"/>
    <row r="2606" ht="15"/>
    <row r="2607" ht="15"/>
    <row r="2608" ht="15"/>
    <row r="2609" ht="15"/>
    <row r="2610" ht="15"/>
    <row r="2611" ht="15"/>
    <row r="2612" ht="15"/>
    <row r="2613" ht="15"/>
    <row r="2614" ht="15"/>
    <row r="2615" ht="15"/>
    <row r="2616" ht="15"/>
    <row r="2617" ht="15"/>
    <row r="2618" ht="15"/>
    <row r="2619" ht="15"/>
    <row r="2620" ht="15"/>
    <row r="2621" ht="15"/>
    <row r="2622" ht="15"/>
    <row r="2623" ht="15"/>
    <row r="2624" ht="15"/>
    <row r="2625" ht="15"/>
    <row r="2626" ht="15"/>
    <row r="2627" ht="15"/>
    <row r="2628" ht="15"/>
    <row r="2629" ht="15"/>
    <row r="2630" ht="15"/>
    <row r="2631" ht="15"/>
    <row r="2632" ht="15"/>
    <row r="2633" ht="15"/>
    <row r="2634" ht="15"/>
    <row r="2635" ht="15"/>
    <row r="2636" ht="15"/>
    <row r="2637" ht="15"/>
    <row r="2638" ht="15"/>
    <row r="2639" ht="15"/>
    <row r="2640" ht="15"/>
    <row r="2641" ht="15"/>
    <row r="2642" ht="15"/>
    <row r="2643" ht="15"/>
    <row r="2644" ht="15"/>
    <row r="2645" ht="15"/>
    <row r="2646" ht="15"/>
    <row r="2647" ht="15"/>
    <row r="2648" ht="15"/>
    <row r="2649" ht="15"/>
    <row r="2650" ht="15"/>
    <row r="2651" ht="15"/>
    <row r="2652" ht="15"/>
    <row r="2653" ht="15"/>
    <row r="2654" ht="15"/>
    <row r="2655" ht="15"/>
    <row r="2656" ht="15"/>
    <row r="2657" ht="15"/>
    <row r="2658" ht="15"/>
    <row r="2659" ht="15"/>
    <row r="2660" ht="15"/>
    <row r="2661" ht="15"/>
    <row r="2662" ht="15"/>
    <row r="2663" ht="15"/>
    <row r="2664" ht="15"/>
    <row r="2665" ht="15"/>
    <row r="2666" ht="15"/>
    <row r="2667" ht="15"/>
    <row r="2668" ht="15"/>
    <row r="2669" ht="15"/>
    <row r="2670" ht="15"/>
    <row r="2671" ht="15"/>
    <row r="2672" ht="15"/>
    <row r="2673" ht="15"/>
    <row r="2674" ht="15"/>
    <row r="2675" ht="15"/>
    <row r="2676" ht="15"/>
    <row r="2677" ht="15"/>
    <row r="2678" ht="15"/>
    <row r="2679" ht="15"/>
    <row r="2680" ht="15"/>
    <row r="2681" ht="15"/>
    <row r="2682" ht="15"/>
    <row r="2683" ht="15"/>
    <row r="2684" ht="15"/>
    <row r="2685" ht="15"/>
    <row r="2686" ht="15"/>
    <row r="2687" ht="15"/>
    <row r="2688" ht="15"/>
    <row r="2689" ht="15"/>
    <row r="2690" ht="15"/>
    <row r="2691" ht="15"/>
    <row r="2692" ht="15"/>
    <row r="2693" ht="15"/>
    <row r="2694" ht="15"/>
    <row r="2695" ht="15"/>
    <row r="2696" ht="15"/>
    <row r="2697" ht="15"/>
    <row r="2698" ht="15"/>
    <row r="2699" ht="15"/>
    <row r="2700" ht="15"/>
    <row r="2701" ht="15"/>
    <row r="2702" ht="15"/>
    <row r="2703" ht="15"/>
    <row r="2704" ht="15"/>
    <row r="2705" ht="15"/>
    <row r="2706" ht="15"/>
    <row r="2707" ht="15"/>
    <row r="2708" ht="15"/>
    <row r="2709" ht="15"/>
    <row r="2710" ht="15"/>
    <row r="2711" ht="15"/>
    <row r="2712" ht="15"/>
    <row r="2713" ht="15"/>
    <row r="2714" ht="15"/>
    <row r="2715" ht="15"/>
    <row r="2716" ht="15"/>
    <row r="2717" ht="15"/>
    <row r="2718" ht="15"/>
    <row r="2719" ht="15"/>
    <row r="2720" ht="15"/>
    <row r="2721" ht="15"/>
    <row r="2722" ht="15"/>
    <row r="2723" ht="15"/>
    <row r="2724" ht="15"/>
    <row r="2725" ht="15"/>
    <row r="2726" ht="15"/>
    <row r="2727" ht="15"/>
    <row r="2728" ht="15"/>
    <row r="2729" ht="15"/>
    <row r="2730" ht="15"/>
    <row r="2731" ht="15"/>
    <row r="2732" ht="15"/>
    <row r="2733" ht="15"/>
    <row r="2734" ht="15"/>
    <row r="2735" ht="15"/>
    <row r="2736" ht="15"/>
    <row r="2737" ht="15"/>
    <row r="2738" ht="15"/>
    <row r="2739" ht="15"/>
    <row r="2740" ht="15"/>
    <row r="2741" ht="15"/>
    <row r="2742" ht="15"/>
    <row r="2743" ht="15"/>
    <row r="2744" ht="15"/>
    <row r="2745" ht="15"/>
    <row r="2746" ht="15"/>
    <row r="2747" ht="15"/>
    <row r="2748" ht="15"/>
    <row r="2749" ht="15"/>
    <row r="2750" ht="15"/>
    <row r="2751" ht="15"/>
    <row r="2752" ht="15"/>
    <row r="2753" ht="15"/>
    <row r="2754" ht="15"/>
    <row r="2755" ht="15"/>
    <row r="2756" ht="15"/>
    <row r="2757" ht="15"/>
    <row r="2758" ht="15"/>
    <row r="2759" ht="15"/>
    <row r="2760" ht="15"/>
    <row r="2761" ht="15"/>
    <row r="2762" ht="15"/>
    <row r="2763" ht="15"/>
    <row r="2764" ht="15"/>
    <row r="2765" ht="15"/>
    <row r="2766" ht="15"/>
    <row r="2767" ht="15"/>
    <row r="2768" ht="15"/>
    <row r="2769" ht="15"/>
    <row r="2770" ht="15"/>
    <row r="2771" ht="15"/>
    <row r="2772" ht="15"/>
    <row r="2773" ht="15"/>
    <row r="2774" ht="15"/>
    <row r="2775" ht="15"/>
    <row r="2776" ht="15"/>
    <row r="2777" ht="15"/>
    <row r="2778" ht="15"/>
    <row r="2779" ht="15"/>
    <row r="2780" ht="15"/>
    <row r="2781" ht="15"/>
    <row r="2782" ht="15"/>
    <row r="2783" ht="15"/>
    <row r="2784" ht="15"/>
    <row r="2785" ht="15"/>
    <row r="2786" ht="15"/>
    <row r="2787" ht="15"/>
    <row r="2788" ht="15"/>
    <row r="2789" ht="15"/>
    <row r="2790" ht="15"/>
    <row r="2791" ht="15"/>
    <row r="2792" ht="15"/>
    <row r="2793" ht="15"/>
    <row r="2794" ht="15"/>
    <row r="2795" ht="15"/>
    <row r="2796" ht="15"/>
    <row r="2797" ht="15"/>
    <row r="2798" ht="15"/>
    <row r="2799" ht="15"/>
    <row r="2800" ht="15"/>
    <row r="2801" ht="15"/>
    <row r="2802" ht="15"/>
    <row r="2803" ht="15"/>
    <row r="2804" ht="15"/>
    <row r="2805" ht="15"/>
    <row r="2806" ht="15"/>
    <row r="2807" ht="15"/>
    <row r="2808" ht="15"/>
    <row r="2809" ht="15"/>
    <row r="2810" ht="15"/>
    <row r="2811" ht="15"/>
    <row r="2812" ht="15"/>
    <row r="2813" ht="15"/>
    <row r="2814" ht="15"/>
    <row r="2815" ht="15"/>
    <row r="2816" ht="15"/>
    <row r="2817" ht="15"/>
    <row r="2818" ht="15"/>
    <row r="2819" ht="15"/>
    <row r="2820" ht="15"/>
    <row r="2821" ht="15"/>
    <row r="2822" ht="15"/>
    <row r="2823" ht="15"/>
    <row r="2824" ht="15"/>
    <row r="2825" ht="15"/>
    <row r="2826" ht="15"/>
    <row r="2827" ht="15"/>
    <row r="2828" ht="15"/>
    <row r="2829" ht="15"/>
    <row r="2830" ht="15"/>
    <row r="2831" ht="15"/>
    <row r="2832" ht="15"/>
    <row r="2833" ht="15"/>
    <row r="2834" ht="15"/>
    <row r="2835" ht="15"/>
    <row r="2836" ht="15"/>
    <row r="2837" ht="15"/>
    <row r="2838" ht="15"/>
    <row r="2839" ht="15"/>
    <row r="2840" ht="15"/>
    <row r="2841" ht="15"/>
    <row r="2842" ht="15"/>
    <row r="2843" ht="15"/>
    <row r="2844" ht="15"/>
    <row r="2845" ht="15"/>
    <row r="2846" ht="15"/>
    <row r="2847" ht="15"/>
    <row r="2848" ht="15"/>
    <row r="2849" ht="15"/>
    <row r="2850" ht="15"/>
    <row r="2851" ht="15"/>
    <row r="2852" ht="15"/>
    <row r="2853" ht="15"/>
    <row r="2854" ht="15"/>
    <row r="2855" ht="15"/>
    <row r="2856" ht="15"/>
    <row r="2857" ht="15"/>
    <row r="2858" ht="15"/>
    <row r="2859" ht="15"/>
    <row r="2860" ht="15"/>
    <row r="2861" ht="15"/>
    <row r="2862" ht="15"/>
    <row r="2863" ht="15"/>
    <row r="2864" ht="15"/>
    <row r="2865" ht="15"/>
    <row r="2866" ht="15"/>
    <row r="2867" ht="15"/>
    <row r="2868" ht="15"/>
    <row r="2869" ht="15"/>
    <row r="2870" ht="15"/>
    <row r="2871" ht="15"/>
    <row r="2872" ht="15"/>
    <row r="2873" ht="15"/>
    <row r="2874" ht="15"/>
    <row r="2875" ht="15"/>
    <row r="2876" ht="15"/>
    <row r="2877" ht="15"/>
    <row r="2878" ht="15"/>
    <row r="2879" ht="15"/>
    <row r="2880" ht="15"/>
    <row r="2881" ht="15"/>
    <row r="2882" ht="15"/>
    <row r="2883" ht="15"/>
    <row r="2884" ht="15"/>
    <row r="2885" ht="15"/>
    <row r="2886" ht="15"/>
    <row r="2887" ht="15"/>
    <row r="2888" ht="15"/>
    <row r="2889" ht="15"/>
    <row r="2890" ht="15"/>
    <row r="2891" ht="15"/>
    <row r="2892" ht="15"/>
    <row r="2893" ht="15"/>
    <row r="2894" ht="15"/>
    <row r="2895" ht="15"/>
    <row r="2896" ht="15"/>
    <row r="2897" ht="15"/>
    <row r="2898" ht="15"/>
    <row r="2899" ht="15"/>
    <row r="2900" ht="15"/>
    <row r="2901" ht="15"/>
    <row r="2902" ht="15"/>
    <row r="2903" ht="15"/>
    <row r="2904" ht="15"/>
    <row r="2905" ht="15"/>
    <row r="2906" ht="15"/>
    <row r="2907" ht="15"/>
    <row r="2908" ht="15"/>
    <row r="2909" ht="15"/>
    <row r="2910" ht="15"/>
    <row r="2911" ht="15"/>
    <row r="2912" ht="15"/>
    <row r="2913" ht="15"/>
    <row r="2914" ht="15"/>
    <row r="2915" ht="15"/>
    <row r="2916" ht="15"/>
    <row r="2917" ht="15"/>
    <row r="2918" ht="15"/>
    <row r="2919" ht="15"/>
    <row r="2920" ht="15"/>
    <row r="2921" ht="15"/>
    <row r="2922" ht="15"/>
    <row r="2923" ht="15"/>
    <row r="2924" ht="15"/>
    <row r="2925" ht="15"/>
    <row r="2926" ht="15"/>
    <row r="2927" ht="15"/>
    <row r="2928" ht="15"/>
    <row r="2929" ht="15"/>
    <row r="2930" ht="15"/>
    <row r="2931" ht="15"/>
    <row r="2932" ht="15"/>
    <row r="2933" ht="15"/>
    <row r="2934" ht="15"/>
    <row r="2935" ht="15"/>
    <row r="2936" ht="15"/>
    <row r="2937" ht="15"/>
    <row r="2938" ht="15"/>
    <row r="2939" ht="15"/>
    <row r="2940" ht="15"/>
    <row r="2941" ht="15"/>
    <row r="2942" ht="15"/>
    <row r="2943" ht="15"/>
    <row r="2944" ht="15"/>
    <row r="2945" ht="15"/>
    <row r="2946" ht="15"/>
    <row r="2947" ht="15"/>
    <row r="2948" ht="15"/>
    <row r="2949" ht="15"/>
    <row r="2950" ht="15"/>
    <row r="2951" ht="15"/>
    <row r="2952" ht="15"/>
    <row r="2953" ht="15"/>
    <row r="2954" ht="15"/>
    <row r="2955" ht="15"/>
    <row r="2956" ht="15"/>
    <row r="2957" ht="15"/>
    <row r="2958" ht="15"/>
    <row r="2959" ht="15"/>
    <row r="2960" ht="15"/>
    <row r="2961" ht="15"/>
    <row r="2962" ht="15"/>
    <row r="2963" ht="15"/>
    <row r="2964" ht="15"/>
    <row r="2965" ht="15"/>
    <row r="2966" ht="15"/>
    <row r="2967" ht="15"/>
    <row r="2968" ht="15"/>
    <row r="2969" ht="15"/>
    <row r="2970" ht="15"/>
    <row r="2971" ht="15"/>
    <row r="2972" ht="15"/>
    <row r="2973" ht="15"/>
    <row r="2974" ht="15"/>
    <row r="2975" ht="15"/>
    <row r="2976" ht="15"/>
    <row r="2977" ht="15"/>
    <row r="2978" ht="15"/>
    <row r="2979" ht="15"/>
    <row r="2980" ht="15"/>
    <row r="2981" ht="15"/>
    <row r="2982" ht="15"/>
    <row r="2983" ht="15"/>
    <row r="2984" ht="15"/>
    <row r="2985" ht="15"/>
    <row r="2986" ht="15"/>
    <row r="2987" ht="15"/>
    <row r="2988" ht="15"/>
    <row r="2989" ht="15"/>
    <row r="2990" ht="15"/>
    <row r="2991" ht="15"/>
    <row r="2992" ht="15"/>
    <row r="2993" ht="15"/>
    <row r="2994" ht="15"/>
    <row r="2995" ht="15"/>
    <row r="2996" ht="15"/>
    <row r="2997" ht="15"/>
    <row r="2998" ht="15"/>
    <row r="2999" ht="15"/>
    <row r="3000" ht="15"/>
    <row r="3001" ht="15"/>
    <row r="3002" ht="15"/>
    <row r="3003" ht="15"/>
    <row r="3004" ht="15"/>
    <row r="3005" ht="15"/>
    <row r="3006" ht="15"/>
    <row r="3007" ht="15"/>
    <row r="3008" ht="15"/>
    <row r="3009" ht="15"/>
    <row r="3010" ht="15"/>
    <row r="3011" ht="15"/>
    <row r="3012" ht="15"/>
    <row r="3013" ht="15"/>
    <row r="3014" ht="15"/>
    <row r="3015" ht="15"/>
    <row r="3016" ht="15"/>
    <row r="3017" ht="15"/>
    <row r="3018" ht="15"/>
    <row r="3019" ht="15"/>
    <row r="3020" ht="15"/>
    <row r="3021" ht="15"/>
    <row r="3022" ht="15"/>
    <row r="3023" ht="15"/>
    <row r="3024" ht="15"/>
    <row r="3025" ht="15"/>
    <row r="3026" ht="15"/>
    <row r="3027" ht="15"/>
    <row r="3028" ht="15"/>
    <row r="3029" ht="15"/>
    <row r="3030" ht="15"/>
    <row r="3031" ht="15"/>
    <row r="3032" ht="15"/>
    <row r="3033" ht="15"/>
    <row r="3034" ht="15"/>
    <row r="3035" ht="15"/>
    <row r="3036" ht="15"/>
    <row r="3037" ht="15"/>
    <row r="3038" ht="15"/>
    <row r="3039" ht="15"/>
    <row r="3040" ht="15"/>
    <row r="3041" ht="15"/>
    <row r="3042" ht="15"/>
    <row r="3043" ht="15"/>
    <row r="3044" ht="15"/>
    <row r="3045" ht="15"/>
    <row r="3046" ht="15"/>
    <row r="3047" ht="15"/>
    <row r="3048" ht="15"/>
    <row r="3049" ht="15"/>
    <row r="3050" ht="15"/>
    <row r="3051" ht="15"/>
    <row r="3052" ht="15"/>
    <row r="3053" ht="15"/>
    <row r="3054" ht="15"/>
    <row r="3055" ht="15"/>
    <row r="3056" ht="15"/>
    <row r="3057" ht="15"/>
    <row r="3058" ht="15"/>
    <row r="3059" ht="15"/>
    <row r="3060" ht="15"/>
    <row r="3061" ht="15"/>
    <row r="3062" ht="15"/>
    <row r="3063" ht="15"/>
    <row r="3064" ht="15"/>
    <row r="3065" ht="15"/>
    <row r="3066" ht="15"/>
    <row r="3067" ht="15"/>
    <row r="3068" ht="15"/>
    <row r="3069" ht="15"/>
    <row r="3070" ht="15"/>
    <row r="3071" ht="15"/>
    <row r="3072" ht="15"/>
    <row r="3073" ht="15"/>
    <row r="3074" ht="15"/>
    <row r="3075" ht="15"/>
    <row r="3076" ht="15"/>
    <row r="3077" ht="15"/>
    <row r="3078" ht="15"/>
    <row r="3079" ht="15"/>
    <row r="3080" ht="15"/>
    <row r="3081" ht="15"/>
    <row r="3082" ht="15"/>
    <row r="3083" ht="15"/>
    <row r="3084" ht="15"/>
    <row r="3085" ht="15"/>
    <row r="3086" ht="15"/>
    <row r="3087" ht="15"/>
    <row r="3088" ht="15"/>
    <row r="3089" ht="15"/>
    <row r="3090" ht="15"/>
    <row r="3091" ht="15"/>
    <row r="3092" ht="15"/>
    <row r="3093" ht="15"/>
    <row r="3094" ht="15"/>
    <row r="3095" ht="15"/>
    <row r="3096" ht="15"/>
    <row r="3097" ht="15"/>
    <row r="3098" ht="15"/>
    <row r="3099" ht="15"/>
    <row r="3100" ht="15"/>
    <row r="3101" ht="15"/>
    <row r="3102" ht="15"/>
    <row r="3103" ht="15"/>
    <row r="3104" ht="15"/>
    <row r="3105" ht="15"/>
    <row r="3106" ht="15"/>
    <row r="3107" ht="15"/>
    <row r="3108" ht="15"/>
    <row r="3109" ht="15"/>
    <row r="3110" ht="15"/>
    <row r="3111" ht="15"/>
    <row r="3112" ht="15"/>
    <row r="3113" ht="15"/>
    <row r="3114" ht="15"/>
    <row r="3115" ht="15"/>
    <row r="3116" ht="15"/>
    <row r="3117" ht="15"/>
    <row r="3118" ht="15"/>
    <row r="3119" ht="15"/>
    <row r="3120" ht="15"/>
    <row r="3121" ht="15"/>
    <row r="3122" ht="15"/>
    <row r="3123" ht="15"/>
    <row r="3124" ht="15"/>
    <row r="3125" ht="15"/>
    <row r="3126" ht="15"/>
    <row r="3127" ht="15"/>
    <row r="3128" ht="15"/>
    <row r="3129" ht="15"/>
    <row r="3130" ht="15"/>
    <row r="3131" ht="15"/>
    <row r="3132" ht="15"/>
    <row r="3133" ht="15"/>
    <row r="3134" ht="15"/>
    <row r="3135" ht="15"/>
    <row r="3136" ht="15"/>
    <row r="3137" ht="15"/>
    <row r="3138" ht="15"/>
    <row r="3139" ht="15"/>
    <row r="3140" ht="15"/>
    <row r="3141" ht="15"/>
    <row r="3142" ht="15"/>
    <row r="3143" ht="15"/>
    <row r="3144" ht="15"/>
    <row r="3145" ht="15"/>
    <row r="3146" ht="15"/>
    <row r="3147" ht="15"/>
    <row r="3148" ht="15"/>
    <row r="3149" ht="15"/>
    <row r="3150" ht="15"/>
    <row r="3151" ht="15"/>
    <row r="3152" ht="15"/>
    <row r="3153" ht="15"/>
    <row r="3154" ht="15"/>
    <row r="3155" ht="15"/>
    <row r="3156" ht="15"/>
    <row r="3157" ht="15"/>
    <row r="3158" ht="15"/>
    <row r="3159" ht="15"/>
    <row r="3160" ht="15"/>
    <row r="3161" ht="15"/>
    <row r="3162" ht="15"/>
    <row r="3163" ht="15"/>
    <row r="3164" ht="15"/>
    <row r="3165" ht="15"/>
    <row r="3166" ht="15"/>
    <row r="3167" ht="15"/>
    <row r="3168" ht="15"/>
    <row r="3169" ht="15"/>
    <row r="3170" ht="15"/>
    <row r="3171" ht="15"/>
    <row r="3172" ht="15"/>
    <row r="3173" ht="15"/>
    <row r="3174" ht="15"/>
    <row r="3175" ht="15"/>
    <row r="3176" ht="15"/>
    <row r="3177" ht="15"/>
    <row r="3178" ht="15"/>
    <row r="3179" ht="15"/>
    <row r="3180" ht="15"/>
    <row r="3181" ht="15"/>
    <row r="3182" ht="15"/>
    <row r="3183" ht="15"/>
    <row r="3184" ht="15"/>
    <row r="3185" ht="15"/>
    <row r="3186" ht="15"/>
    <row r="3187" ht="15"/>
    <row r="3188" ht="15"/>
    <row r="3189" ht="15"/>
    <row r="3190" ht="15"/>
    <row r="3191" ht="15"/>
    <row r="3192" ht="15"/>
    <row r="3193" ht="15"/>
    <row r="3194" ht="15"/>
    <row r="3195" ht="15"/>
    <row r="3196" ht="15"/>
    <row r="3197" ht="15"/>
    <row r="3198" ht="15"/>
    <row r="3199" ht="15"/>
    <row r="3200" ht="15"/>
    <row r="3201" ht="15"/>
    <row r="3202" ht="15"/>
    <row r="3203" ht="15"/>
    <row r="3204" ht="15"/>
    <row r="3205" ht="15"/>
    <row r="3206" ht="15"/>
    <row r="3207" ht="15"/>
    <row r="3208" ht="15"/>
    <row r="3209" ht="15"/>
    <row r="3210" ht="15"/>
    <row r="3211" ht="15"/>
    <row r="3212" ht="15"/>
    <row r="3213" ht="15"/>
    <row r="3214" ht="15"/>
    <row r="3215" ht="15"/>
    <row r="3216" ht="15"/>
    <row r="3217" ht="15"/>
    <row r="3218" ht="15"/>
    <row r="3219" ht="15"/>
    <row r="3220" ht="15"/>
    <row r="3221" ht="15"/>
    <row r="3222" ht="15"/>
    <row r="3223" ht="15"/>
    <row r="3224" ht="15"/>
    <row r="3225" ht="15"/>
    <row r="3226" ht="15"/>
    <row r="3227" ht="15"/>
    <row r="3228" ht="15"/>
    <row r="3229" ht="15"/>
    <row r="3230" ht="15"/>
    <row r="3231" ht="15"/>
    <row r="3232" ht="15"/>
    <row r="3233" ht="15"/>
    <row r="3234" ht="15"/>
    <row r="3235" ht="15"/>
    <row r="3236" ht="15"/>
    <row r="3237" ht="15"/>
    <row r="3238" ht="15"/>
    <row r="3239" ht="15"/>
    <row r="3240" ht="15"/>
    <row r="3241" ht="15"/>
    <row r="3242" ht="15"/>
    <row r="3243" ht="15"/>
    <row r="3244" ht="15"/>
    <row r="3245" ht="15"/>
    <row r="3246" ht="15"/>
    <row r="3247" ht="15"/>
    <row r="3248" ht="15"/>
    <row r="3249" ht="15"/>
    <row r="3250" ht="15"/>
    <row r="3251" ht="15"/>
    <row r="3252" ht="15"/>
    <row r="3253" ht="15"/>
    <row r="3254" ht="15"/>
    <row r="3255" ht="15"/>
    <row r="3256" ht="15"/>
    <row r="3257" ht="15"/>
    <row r="3258" ht="15"/>
    <row r="3259" ht="15"/>
    <row r="3260" ht="15"/>
    <row r="3261" ht="15"/>
    <row r="3262" ht="15"/>
    <row r="3263" ht="15"/>
    <row r="3264" ht="15"/>
    <row r="3265" ht="15"/>
    <row r="3266" ht="15"/>
    <row r="3267" ht="15"/>
    <row r="3268" ht="15"/>
    <row r="3269" ht="15"/>
    <row r="3270" ht="15"/>
    <row r="3271" ht="15"/>
    <row r="3272" ht="15"/>
    <row r="3273" ht="15"/>
    <row r="3274" ht="15"/>
    <row r="3275" ht="15"/>
    <row r="3276" ht="15"/>
    <row r="3277" ht="15"/>
    <row r="3278" ht="15"/>
    <row r="3279" ht="15"/>
    <row r="3280" ht="15"/>
    <row r="3281" ht="15"/>
    <row r="3282" ht="15"/>
    <row r="3283" ht="15"/>
    <row r="3284" ht="15"/>
    <row r="3285" ht="15"/>
    <row r="3286" ht="15"/>
    <row r="3287" ht="15"/>
    <row r="3288" ht="15"/>
    <row r="3289" ht="15"/>
    <row r="3290" ht="15"/>
    <row r="3291" ht="15"/>
    <row r="3292" ht="15"/>
    <row r="3293" ht="15"/>
    <row r="3294" ht="15"/>
    <row r="3295" ht="15"/>
    <row r="3296" ht="15"/>
    <row r="3297" ht="15"/>
    <row r="3298" ht="15"/>
    <row r="3299" ht="15"/>
    <row r="3300" ht="15"/>
    <row r="3301" ht="15"/>
    <row r="3302" ht="15"/>
    <row r="3303" ht="15"/>
    <row r="3304" ht="15"/>
    <row r="3305" ht="15"/>
    <row r="3306" ht="15"/>
    <row r="3307" ht="15"/>
    <row r="3308" ht="15"/>
    <row r="3309" ht="15"/>
    <row r="3310" ht="15"/>
    <row r="3311" ht="15"/>
    <row r="3312" ht="15"/>
    <row r="3313" ht="15"/>
    <row r="3314" ht="15"/>
    <row r="3315" ht="15"/>
    <row r="3316" ht="15"/>
    <row r="3317" ht="15"/>
    <row r="3318" ht="15"/>
    <row r="3319" ht="15"/>
    <row r="3320" ht="15"/>
    <row r="3321" ht="15"/>
    <row r="3322" ht="15"/>
    <row r="3323" ht="15"/>
    <row r="3324" ht="15"/>
    <row r="3325" ht="15"/>
    <row r="3326" ht="15"/>
    <row r="3327" ht="15"/>
    <row r="3328" ht="15"/>
    <row r="3329" ht="15"/>
    <row r="3330" ht="15"/>
    <row r="3331" ht="15"/>
    <row r="3332" ht="15"/>
    <row r="3333" ht="15"/>
    <row r="3334" ht="15"/>
    <row r="3335" ht="15"/>
    <row r="3336" ht="15"/>
    <row r="3337" ht="15"/>
    <row r="3338" ht="15"/>
    <row r="3339" ht="15"/>
    <row r="3340" ht="15"/>
    <row r="3341" ht="15"/>
    <row r="3342" ht="15"/>
    <row r="3343" ht="15"/>
    <row r="3344" ht="15"/>
    <row r="3345" ht="15"/>
    <row r="3346" ht="15"/>
    <row r="3347" ht="15"/>
    <row r="3348" ht="15"/>
    <row r="3349" ht="15"/>
    <row r="3350" ht="15"/>
    <row r="3351" ht="15"/>
    <row r="3352" ht="15"/>
    <row r="3353" ht="15"/>
    <row r="3354" ht="15"/>
    <row r="3355" ht="15"/>
    <row r="3356" ht="15"/>
    <row r="3357" ht="15"/>
    <row r="3358" ht="15"/>
    <row r="3359" ht="15"/>
    <row r="3360" ht="15"/>
    <row r="3361" ht="15"/>
    <row r="3362" ht="15"/>
    <row r="3363" ht="15"/>
    <row r="3364" ht="15"/>
    <row r="3365" ht="15"/>
    <row r="3366" ht="15"/>
    <row r="3367" ht="15"/>
    <row r="3368" ht="15"/>
    <row r="3369" ht="15"/>
    <row r="3370" ht="15"/>
    <row r="3371" ht="15"/>
    <row r="3372" ht="15"/>
    <row r="3373" ht="15"/>
    <row r="3374" ht="15"/>
    <row r="3375" ht="15"/>
    <row r="3376" ht="15"/>
    <row r="3377" ht="15"/>
    <row r="3378" ht="15"/>
    <row r="3379" ht="15"/>
    <row r="3380" ht="15"/>
    <row r="3381" ht="15"/>
    <row r="3382" ht="15"/>
    <row r="3383" ht="15"/>
    <row r="3384" ht="15"/>
    <row r="3385" ht="15"/>
    <row r="3386" ht="15"/>
    <row r="3387" ht="15"/>
    <row r="3388" ht="15"/>
    <row r="3389" ht="15"/>
    <row r="3390" ht="15"/>
    <row r="3391" ht="15"/>
    <row r="3392" ht="15"/>
    <row r="3393" ht="15"/>
    <row r="3394" ht="15"/>
    <row r="3395" ht="15"/>
    <row r="3396" ht="15"/>
    <row r="3397" ht="15"/>
    <row r="3398" ht="15"/>
    <row r="3399" ht="15"/>
    <row r="3400" ht="15"/>
    <row r="3401" ht="15"/>
    <row r="3402" ht="15"/>
    <row r="3403" ht="15"/>
    <row r="3404" ht="15"/>
    <row r="3405" ht="15"/>
    <row r="3406" ht="15"/>
    <row r="3407" ht="15"/>
    <row r="3408" ht="15"/>
    <row r="3409" ht="15"/>
    <row r="3410" ht="15"/>
    <row r="3411" ht="15"/>
    <row r="3412" ht="15"/>
    <row r="3413" ht="15"/>
    <row r="3414" ht="15"/>
    <row r="3415" ht="15"/>
    <row r="3416" ht="15"/>
    <row r="3417" ht="15"/>
    <row r="3418" ht="15"/>
    <row r="3419" ht="15"/>
    <row r="3420" ht="15"/>
    <row r="3421" ht="15"/>
    <row r="3422" ht="15"/>
    <row r="3423" ht="15"/>
    <row r="3424" ht="15"/>
    <row r="3425" ht="15"/>
    <row r="3426" ht="15"/>
    <row r="3427" ht="15"/>
    <row r="3428" ht="15"/>
    <row r="3429" ht="15"/>
    <row r="3430" ht="15"/>
    <row r="3431" ht="15"/>
    <row r="3432" ht="15"/>
    <row r="3433" ht="15"/>
    <row r="3434" ht="15"/>
    <row r="3435" ht="15"/>
    <row r="3436" ht="15"/>
    <row r="3437" ht="15"/>
    <row r="3438" ht="15"/>
    <row r="3439" ht="15"/>
    <row r="3440" ht="15"/>
    <row r="3441" ht="15"/>
    <row r="3442" ht="15"/>
    <row r="3443" ht="15"/>
    <row r="3444" ht="15"/>
    <row r="3445" ht="15"/>
    <row r="3446" ht="15"/>
    <row r="3447" ht="15"/>
    <row r="3448" ht="15"/>
    <row r="3449" ht="15"/>
    <row r="3450" ht="15"/>
    <row r="3451" ht="15"/>
    <row r="3452" ht="15"/>
    <row r="3453" ht="15"/>
    <row r="3454" ht="15"/>
    <row r="3455" ht="15"/>
    <row r="3456" ht="15"/>
    <row r="3457" ht="15"/>
    <row r="3458" ht="15"/>
    <row r="3459" ht="15"/>
    <row r="3460" ht="15"/>
    <row r="3461" ht="15"/>
    <row r="3462" ht="15"/>
    <row r="3463" ht="15"/>
    <row r="3464" ht="15"/>
    <row r="3465" ht="15"/>
    <row r="3466" ht="15"/>
    <row r="3467" ht="15"/>
    <row r="3468" ht="15"/>
    <row r="3469" ht="15"/>
    <row r="3470" ht="15"/>
    <row r="3471" ht="15"/>
    <row r="3472" ht="15"/>
    <row r="3473" ht="15"/>
    <row r="3474" ht="15"/>
    <row r="3475" ht="15"/>
    <row r="3476" ht="15"/>
    <row r="3477" ht="15"/>
    <row r="3478" ht="15"/>
    <row r="3479" ht="15"/>
    <row r="3480" ht="15"/>
    <row r="3481" ht="15"/>
    <row r="3482" ht="15"/>
    <row r="3483" ht="15"/>
    <row r="3484" ht="15"/>
    <row r="3485" ht="15"/>
    <row r="3486" ht="15"/>
    <row r="3487" ht="15"/>
    <row r="3488" ht="15"/>
    <row r="3489" ht="15"/>
    <row r="3490" ht="15"/>
    <row r="3491" ht="15"/>
    <row r="3492" ht="15"/>
    <row r="3493" ht="15"/>
    <row r="3494" ht="15"/>
    <row r="3495" ht="15"/>
    <row r="3496" ht="15"/>
    <row r="3497" ht="15"/>
    <row r="3498" ht="15"/>
    <row r="3499" ht="15"/>
    <row r="3500" ht="15"/>
    <row r="3501" ht="15"/>
    <row r="3502" ht="15"/>
    <row r="3503" ht="15"/>
    <row r="3504" ht="15"/>
    <row r="3505" ht="15"/>
    <row r="3506" ht="15"/>
    <row r="3507" ht="15"/>
    <row r="3508" ht="15"/>
    <row r="3509" ht="15"/>
    <row r="3510" ht="15"/>
    <row r="3511" ht="15"/>
    <row r="3512" ht="15"/>
    <row r="3513" ht="15"/>
    <row r="3514" ht="15"/>
    <row r="3515" ht="15"/>
    <row r="3516" ht="15"/>
    <row r="3517" ht="15"/>
    <row r="3518" ht="15"/>
    <row r="3519" ht="15"/>
    <row r="3520" ht="15"/>
    <row r="3521" ht="15"/>
    <row r="3522" ht="15"/>
    <row r="3523" ht="15"/>
    <row r="3524" ht="15"/>
    <row r="3525" ht="15"/>
    <row r="3526" ht="15"/>
    <row r="3527" ht="15"/>
    <row r="3528" ht="15"/>
    <row r="3529" ht="15"/>
    <row r="3530" ht="15"/>
    <row r="3531" ht="15"/>
    <row r="3532" ht="15"/>
    <row r="3533" ht="15"/>
    <row r="3534" ht="15"/>
    <row r="3535" ht="15"/>
    <row r="3536" ht="15"/>
    <row r="3537" ht="15"/>
    <row r="3538" ht="15"/>
    <row r="3539" ht="15"/>
    <row r="3540" ht="15"/>
    <row r="3541" ht="15"/>
    <row r="3542" ht="15"/>
    <row r="3543" ht="15"/>
    <row r="3544" ht="15"/>
    <row r="3545" ht="15"/>
    <row r="3546" ht="15"/>
    <row r="3547" ht="15"/>
    <row r="3548" ht="15"/>
    <row r="3549" ht="15"/>
    <row r="3550" ht="15"/>
    <row r="3551" ht="15"/>
    <row r="3552" ht="15"/>
    <row r="3553" ht="15"/>
    <row r="3554" ht="15"/>
    <row r="3555" ht="15"/>
    <row r="3556" ht="15"/>
    <row r="3557" ht="15"/>
    <row r="3558" ht="15"/>
    <row r="3559" ht="15"/>
    <row r="3560" ht="15"/>
    <row r="3561" ht="15"/>
    <row r="3562" ht="15"/>
    <row r="3563" ht="15"/>
    <row r="3564" ht="15"/>
    <row r="3565" ht="15"/>
    <row r="3566" ht="15"/>
    <row r="3567" ht="15"/>
    <row r="3568" ht="15"/>
    <row r="3569" ht="15"/>
    <row r="3570" ht="15"/>
    <row r="3571" ht="15"/>
    <row r="3572" ht="15"/>
    <row r="3573" ht="15"/>
    <row r="3574" ht="15"/>
    <row r="3575" ht="15"/>
    <row r="3576" ht="15"/>
    <row r="3577" ht="15"/>
    <row r="3578" ht="15"/>
    <row r="3579" ht="15"/>
    <row r="3580" ht="15"/>
    <row r="3581" ht="15"/>
    <row r="3582" ht="15"/>
    <row r="3583" ht="15"/>
    <row r="3584" ht="15"/>
    <row r="3585" ht="15"/>
    <row r="3586" ht="15"/>
    <row r="3587" ht="15"/>
    <row r="3588" ht="15"/>
    <row r="3589" ht="15"/>
    <row r="3590" ht="15"/>
    <row r="3591" ht="15"/>
    <row r="3592" ht="15"/>
    <row r="3593" ht="15"/>
    <row r="3594" ht="15"/>
    <row r="3595" ht="15"/>
    <row r="3596" ht="15"/>
    <row r="3597" ht="15"/>
    <row r="3598" ht="15"/>
    <row r="3599" ht="15"/>
    <row r="3600" ht="15"/>
    <row r="3601" ht="15"/>
    <row r="3602" ht="15"/>
    <row r="3603" ht="15"/>
    <row r="3604" ht="15"/>
    <row r="3605" ht="15"/>
    <row r="3606" ht="15"/>
    <row r="3607" ht="15"/>
    <row r="3608" ht="15"/>
    <row r="3609" ht="15"/>
    <row r="3610" ht="15"/>
    <row r="3611" ht="15"/>
    <row r="3612" ht="15"/>
    <row r="3613" ht="15"/>
    <row r="3614" ht="15"/>
    <row r="3615" ht="15"/>
    <row r="3616" ht="15"/>
    <row r="3617" ht="15"/>
    <row r="3618" ht="15"/>
    <row r="3619" ht="15"/>
    <row r="3620" ht="15"/>
    <row r="3621" ht="15"/>
    <row r="3622" ht="15"/>
    <row r="3623" ht="15"/>
    <row r="3624" ht="15"/>
    <row r="3625" ht="15"/>
    <row r="3626" ht="15"/>
    <row r="3627" ht="15"/>
    <row r="3628" ht="15"/>
    <row r="3629" ht="15"/>
    <row r="3630" ht="15"/>
    <row r="3631" ht="15"/>
    <row r="3632" ht="15"/>
    <row r="3633" ht="15"/>
    <row r="3634" ht="15"/>
    <row r="3635" ht="15"/>
    <row r="3636" ht="15"/>
    <row r="3637" ht="15"/>
    <row r="3638" ht="15"/>
    <row r="3639" ht="15"/>
    <row r="3640" ht="15"/>
    <row r="3641" ht="15"/>
    <row r="3642" ht="15"/>
    <row r="3643" ht="15"/>
    <row r="3644" ht="15"/>
    <row r="3645" ht="15"/>
    <row r="3646" ht="15"/>
    <row r="3647" ht="15"/>
    <row r="3648" ht="15"/>
    <row r="3649" ht="15"/>
    <row r="3650" ht="15"/>
    <row r="3651" ht="15"/>
    <row r="3652" ht="15"/>
    <row r="3653" ht="15"/>
    <row r="3654" ht="15"/>
    <row r="3655" ht="15"/>
    <row r="3656" ht="15"/>
    <row r="3657" ht="15"/>
    <row r="3658" ht="15"/>
    <row r="3659" ht="15"/>
    <row r="3660" ht="15"/>
    <row r="3661" ht="15"/>
    <row r="3662" ht="15"/>
    <row r="3663" ht="15"/>
    <row r="3664" ht="15"/>
    <row r="3665" ht="15"/>
    <row r="3666" ht="15"/>
    <row r="3667" ht="15"/>
    <row r="3668" ht="15"/>
    <row r="3669" ht="15"/>
    <row r="3670" ht="15"/>
    <row r="3671" ht="15"/>
    <row r="3672" ht="15"/>
    <row r="3673" ht="15"/>
    <row r="3674" ht="15"/>
    <row r="3675" ht="15"/>
    <row r="3676" ht="15"/>
    <row r="3677" ht="15"/>
    <row r="3678" ht="15"/>
    <row r="3679" ht="15"/>
    <row r="3680" ht="15"/>
    <row r="3681" ht="15"/>
    <row r="3682" ht="15"/>
    <row r="3683" ht="15"/>
    <row r="3684" ht="15"/>
    <row r="3685" ht="15"/>
    <row r="3686" ht="15"/>
    <row r="3687" ht="15"/>
    <row r="3688" ht="15"/>
    <row r="3689" ht="15"/>
    <row r="3690" ht="15"/>
    <row r="3691" ht="15"/>
    <row r="3692" ht="15"/>
    <row r="3693" ht="15"/>
    <row r="3694" ht="15"/>
    <row r="3695" ht="15"/>
    <row r="3696" ht="15"/>
    <row r="3697" ht="15"/>
    <row r="3698" ht="15"/>
    <row r="3699" ht="15"/>
    <row r="3700" ht="15"/>
    <row r="3701" ht="15"/>
    <row r="3702" ht="15"/>
    <row r="3703" ht="15"/>
    <row r="3704" ht="15"/>
    <row r="3705" ht="15"/>
    <row r="3706" ht="15"/>
    <row r="3707" ht="15"/>
    <row r="3708" ht="15"/>
    <row r="3709" ht="15"/>
    <row r="3710" ht="15"/>
    <row r="3711" ht="15"/>
    <row r="3712" ht="15"/>
    <row r="3713" ht="15"/>
    <row r="3714" ht="15"/>
    <row r="3715" ht="15"/>
    <row r="3716" ht="15"/>
    <row r="3717" ht="15"/>
    <row r="3718" ht="15"/>
    <row r="3719" ht="15"/>
    <row r="3720" ht="15"/>
    <row r="3721" ht="15"/>
    <row r="3722" ht="15"/>
    <row r="3723" ht="15"/>
    <row r="3724" ht="15"/>
    <row r="3725" ht="15"/>
    <row r="3726" ht="15"/>
    <row r="3727" ht="15"/>
    <row r="3728" ht="15"/>
    <row r="3729" ht="15"/>
    <row r="3730" ht="15"/>
    <row r="3731" ht="15"/>
    <row r="3732" ht="15"/>
    <row r="3733" ht="15"/>
    <row r="3734" ht="15"/>
    <row r="3735" ht="15"/>
    <row r="3736" ht="15"/>
    <row r="3737" ht="15"/>
    <row r="3738" ht="15"/>
    <row r="3739" ht="15"/>
    <row r="3740" ht="15"/>
    <row r="3741" ht="15"/>
    <row r="3742" ht="15"/>
    <row r="3743" ht="15"/>
    <row r="3744" ht="15"/>
    <row r="3745" ht="15"/>
    <row r="3746" ht="15"/>
    <row r="3747" ht="15"/>
    <row r="3748" ht="15"/>
    <row r="3749" ht="15"/>
    <row r="3750" ht="15"/>
    <row r="3751" ht="15"/>
    <row r="3752" ht="15"/>
    <row r="3753" ht="15"/>
    <row r="3754" ht="15"/>
    <row r="3755" ht="15"/>
    <row r="3756" ht="15"/>
    <row r="3757" ht="15"/>
    <row r="3758" ht="15"/>
    <row r="3759" ht="15"/>
    <row r="3760" ht="15"/>
    <row r="3761" ht="15"/>
    <row r="3762" ht="15"/>
    <row r="3763" ht="15"/>
    <row r="3764" ht="15"/>
    <row r="3765" ht="15"/>
    <row r="3766" ht="15"/>
    <row r="3767" ht="15"/>
    <row r="3768" ht="15"/>
    <row r="3769" ht="15"/>
    <row r="3770" ht="15"/>
    <row r="3771" ht="15"/>
    <row r="3772" ht="15"/>
    <row r="3773" ht="15"/>
    <row r="3774" ht="15"/>
    <row r="3775" ht="15"/>
    <row r="3776" ht="15"/>
    <row r="3777" ht="15"/>
    <row r="3778" ht="15"/>
    <row r="3779" ht="15"/>
    <row r="3780" ht="15"/>
    <row r="3781" ht="15"/>
    <row r="3782" ht="15"/>
    <row r="3783" ht="15"/>
    <row r="3784" ht="15"/>
    <row r="3785" ht="15"/>
    <row r="3786" ht="15"/>
    <row r="3787" ht="15"/>
    <row r="3788" ht="15"/>
    <row r="3789" ht="15"/>
    <row r="3790" ht="15"/>
    <row r="3791" ht="15"/>
    <row r="3792" ht="15"/>
    <row r="3793" ht="15"/>
    <row r="3794" ht="15"/>
    <row r="3795" ht="15"/>
    <row r="3796" ht="15"/>
    <row r="3797" ht="15"/>
    <row r="3798" ht="15"/>
    <row r="3799" ht="15"/>
    <row r="3800" ht="15"/>
    <row r="3801" ht="15"/>
    <row r="3802" ht="15"/>
    <row r="3803" ht="15"/>
    <row r="3804" ht="15"/>
    <row r="3805" ht="15"/>
    <row r="3806" ht="15"/>
    <row r="3807" ht="15"/>
    <row r="3808" ht="15"/>
    <row r="3809" ht="15"/>
    <row r="3810" ht="15"/>
    <row r="3811" ht="15"/>
    <row r="3812" ht="15"/>
    <row r="3813" ht="15"/>
    <row r="3814" ht="15"/>
    <row r="3815" ht="15"/>
    <row r="3816" ht="15"/>
    <row r="3817" ht="15"/>
    <row r="3818" ht="15"/>
    <row r="3819" ht="15"/>
    <row r="3820" ht="15"/>
    <row r="3821" ht="15"/>
    <row r="3822" ht="15"/>
    <row r="3823" ht="15"/>
    <row r="3824" ht="15"/>
    <row r="3825" ht="15"/>
    <row r="3826" ht="15"/>
    <row r="3827" ht="15"/>
    <row r="3828" ht="15"/>
    <row r="3829" ht="15"/>
    <row r="3830" ht="15"/>
    <row r="3831" ht="15"/>
    <row r="3832" ht="15"/>
    <row r="3833" ht="15"/>
    <row r="3834" ht="15"/>
    <row r="3835" ht="15"/>
    <row r="3836" ht="15"/>
    <row r="3837" ht="15"/>
    <row r="3838" ht="15"/>
    <row r="3839" ht="15"/>
    <row r="3840" ht="15"/>
    <row r="3841" ht="15"/>
    <row r="3842" ht="15"/>
    <row r="3843" ht="15"/>
    <row r="3844" ht="15"/>
    <row r="3845" ht="15"/>
    <row r="3846" ht="15"/>
    <row r="3847" ht="15"/>
    <row r="3848" ht="15"/>
    <row r="3849" ht="15"/>
    <row r="3850" ht="15"/>
    <row r="3851" ht="15"/>
    <row r="3852" ht="15"/>
    <row r="3853" ht="15"/>
    <row r="3854" ht="15"/>
    <row r="3855" ht="15"/>
    <row r="3856" ht="15"/>
    <row r="3857" ht="15"/>
    <row r="3858" ht="15"/>
    <row r="3859" ht="15"/>
    <row r="3860" ht="15"/>
    <row r="3861" ht="15"/>
    <row r="3862" ht="15"/>
    <row r="3863" ht="15"/>
    <row r="3864" ht="15"/>
    <row r="3865" ht="15"/>
    <row r="3866" ht="15"/>
    <row r="3867" ht="15"/>
    <row r="3868" ht="15"/>
    <row r="3869" ht="15"/>
    <row r="3870" ht="15"/>
    <row r="3871" ht="15"/>
    <row r="3872" ht="15"/>
    <row r="3873" ht="15"/>
    <row r="3874" ht="15"/>
    <row r="3875" ht="15"/>
    <row r="3876" ht="15"/>
    <row r="3877" ht="15"/>
    <row r="3878" ht="15"/>
    <row r="3879" ht="15"/>
    <row r="3880" ht="15"/>
    <row r="3881" ht="15"/>
    <row r="3882" ht="15"/>
    <row r="3883" ht="15"/>
    <row r="3884" ht="15"/>
    <row r="3885" ht="15"/>
    <row r="3886" ht="15"/>
    <row r="3887" ht="15"/>
    <row r="3888" ht="15"/>
    <row r="3889" ht="15"/>
    <row r="3890" ht="15"/>
    <row r="3891" ht="15"/>
    <row r="3892" ht="15"/>
    <row r="3893" ht="15"/>
    <row r="3894" ht="15"/>
    <row r="3895" ht="15"/>
    <row r="3896" ht="15"/>
    <row r="3897" ht="15"/>
    <row r="3898" ht="15"/>
    <row r="3899" ht="15"/>
    <row r="3900" ht="15"/>
    <row r="3901" ht="15"/>
    <row r="3902" ht="15"/>
    <row r="3903" ht="15"/>
    <row r="3904" ht="15"/>
    <row r="3905" ht="15"/>
    <row r="3906" ht="15"/>
    <row r="3907" ht="15"/>
    <row r="3908" ht="15"/>
    <row r="3909" ht="15"/>
    <row r="3910" ht="15"/>
    <row r="3911" ht="15"/>
    <row r="3912" ht="15"/>
    <row r="3913" ht="15"/>
    <row r="3914" ht="15"/>
    <row r="3915" ht="15"/>
    <row r="3916" ht="15"/>
    <row r="3917" ht="15"/>
    <row r="3918" ht="15"/>
    <row r="3919" ht="15"/>
    <row r="3920" ht="15"/>
    <row r="3921" ht="15"/>
    <row r="3922" ht="15"/>
    <row r="3923" ht="15"/>
    <row r="3924" ht="15"/>
    <row r="3925" ht="15"/>
    <row r="3926" ht="15"/>
    <row r="3927" ht="15"/>
    <row r="3928" ht="15"/>
    <row r="3929" ht="15"/>
    <row r="3930" ht="15"/>
    <row r="3931" ht="15"/>
    <row r="3932" ht="15"/>
    <row r="3933" ht="15"/>
    <row r="3934" ht="15"/>
    <row r="3935" ht="15"/>
    <row r="3936" ht="15"/>
    <row r="3937" ht="15"/>
    <row r="3938" ht="15"/>
    <row r="3939" ht="15"/>
    <row r="3940" ht="15"/>
    <row r="3941" ht="15"/>
    <row r="3942" ht="15"/>
    <row r="3943" ht="15"/>
    <row r="3944" ht="15"/>
    <row r="3945" ht="15"/>
    <row r="3946" ht="15"/>
    <row r="3947" ht="15"/>
    <row r="3948" ht="15"/>
    <row r="3949" ht="15"/>
    <row r="3950" ht="15"/>
    <row r="3951" ht="15"/>
    <row r="3952" ht="15"/>
    <row r="3953" ht="15"/>
    <row r="3954" ht="15"/>
    <row r="3955" ht="15"/>
    <row r="3956" ht="15"/>
    <row r="3957" ht="15"/>
    <row r="3958" ht="15"/>
    <row r="3959" ht="15"/>
    <row r="3960" ht="15"/>
    <row r="3961" ht="15"/>
    <row r="3962" ht="15"/>
    <row r="3963" ht="15"/>
    <row r="3964" ht="15"/>
    <row r="3965" ht="15"/>
    <row r="3966" ht="15"/>
    <row r="3967" ht="15"/>
    <row r="3968" ht="15"/>
    <row r="3969" ht="15"/>
    <row r="3970" ht="15"/>
    <row r="3971" ht="15"/>
    <row r="3972" ht="15"/>
    <row r="3973" ht="15"/>
    <row r="3974" ht="15"/>
    <row r="3975" ht="15"/>
    <row r="3976" ht="15"/>
    <row r="3977" ht="15"/>
    <row r="3978" ht="15"/>
    <row r="3979" ht="15"/>
    <row r="3980" ht="15"/>
    <row r="3981" ht="15"/>
    <row r="3982" ht="15"/>
    <row r="3983" ht="15"/>
    <row r="3984" ht="15"/>
    <row r="3985" ht="15"/>
    <row r="3986" ht="15"/>
    <row r="3987" ht="15"/>
    <row r="3988" ht="15"/>
    <row r="3989" ht="15"/>
    <row r="3990" ht="15"/>
    <row r="3991" ht="15"/>
    <row r="3992" ht="15"/>
    <row r="3993" ht="15"/>
    <row r="3994" ht="15"/>
    <row r="3995" ht="15"/>
    <row r="3996" ht="15"/>
    <row r="3997" ht="15"/>
    <row r="3998" ht="15"/>
    <row r="3999" ht="15"/>
    <row r="4000" ht="15"/>
    <row r="4001" ht="15"/>
    <row r="4002" ht="15"/>
    <row r="4003" ht="15"/>
    <row r="4004" ht="15"/>
    <row r="4005" ht="15"/>
    <row r="4006" ht="15"/>
    <row r="4007" ht="15"/>
    <row r="4008" ht="15"/>
    <row r="4009" ht="15"/>
    <row r="4010" ht="15"/>
    <row r="4011" ht="15"/>
    <row r="4012" ht="15"/>
    <row r="4013" ht="15"/>
    <row r="4014" ht="15"/>
    <row r="4015" ht="15"/>
    <row r="4016" ht="15"/>
    <row r="4017" ht="15"/>
    <row r="4018" ht="15"/>
    <row r="4019" ht="15"/>
    <row r="4020" ht="15"/>
    <row r="4021" ht="15"/>
    <row r="4022" ht="15"/>
    <row r="4023" ht="15"/>
    <row r="4024" ht="15"/>
    <row r="4025" ht="15"/>
    <row r="4026" ht="15"/>
    <row r="4027" ht="15"/>
    <row r="4028" ht="15"/>
    <row r="4029" ht="15"/>
    <row r="4030" ht="15"/>
    <row r="4031" ht="15"/>
    <row r="4032" ht="15"/>
    <row r="4033" ht="15"/>
    <row r="4034" ht="15"/>
    <row r="4035" ht="15"/>
    <row r="4036" ht="15"/>
    <row r="4037" ht="15"/>
    <row r="4038" ht="15"/>
    <row r="4039" ht="15"/>
    <row r="4040" ht="15"/>
    <row r="4041" ht="15"/>
    <row r="4042" ht="15"/>
    <row r="4043" ht="15"/>
    <row r="4044" ht="15"/>
    <row r="4045" ht="15"/>
    <row r="4046" ht="15"/>
    <row r="4047" ht="15"/>
    <row r="4048" ht="15"/>
    <row r="4049" ht="15"/>
    <row r="4050" ht="15"/>
    <row r="4051" ht="15"/>
    <row r="4052" ht="15"/>
    <row r="4053" ht="15"/>
    <row r="4054" ht="15"/>
    <row r="4055" ht="15"/>
    <row r="4056" ht="15"/>
    <row r="4057" ht="15"/>
    <row r="4058" ht="15"/>
    <row r="4059" ht="15"/>
    <row r="4060" ht="15"/>
    <row r="4061" ht="15"/>
    <row r="4062" ht="15"/>
    <row r="4063" ht="15"/>
    <row r="4064" ht="15"/>
    <row r="4065" ht="15"/>
    <row r="4066" ht="15"/>
    <row r="4067" ht="15"/>
    <row r="4068" ht="15"/>
    <row r="4069" ht="15"/>
    <row r="4070" ht="15"/>
    <row r="4071" ht="15"/>
    <row r="4072" ht="15"/>
    <row r="4073" ht="15"/>
    <row r="4074" ht="15"/>
    <row r="4075" ht="15"/>
    <row r="4076" ht="15"/>
    <row r="4077" ht="15"/>
    <row r="4078" ht="15"/>
    <row r="4079" ht="15"/>
    <row r="4080" ht="15"/>
    <row r="4081" ht="15"/>
    <row r="4082" ht="15"/>
    <row r="4083" ht="15"/>
    <row r="4084" ht="15"/>
    <row r="4085" ht="15"/>
    <row r="4086" ht="15"/>
    <row r="4087" ht="15"/>
    <row r="4088" ht="15"/>
    <row r="4089" ht="15"/>
    <row r="4090" ht="15"/>
    <row r="4091" ht="15"/>
    <row r="4092" ht="15"/>
    <row r="4093" ht="15"/>
    <row r="4094" ht="15"/>
    <row r="4095" ht="15"/>
    <row r="4096" ht="15"/>
    <row r="4097" ht="15"/>
    <row r="4098" ht="15"/>
    <row r="4099" ht="15"/>
    <row r="4100" ht="15"/>
    <row r="4101" ht="15"/>
    <row r="4102" ht="15"/>
    <row r="4103" ht="15"/>
    <row r="4104" ht="15"/>
    <row r="4105" ht="15"/>
    <row r="4106" ht="15"/>
    <row r="4107" ht="15"/>
    <row r="4108" ht="15"/>
    <row r="4109" ht="15"/>
    <row r="4110" ht="15"/>
    <row r="4111" ht="15"/>
    <row r="4112" ht="15"/>
    <row r="4113" ht="15"/>
    <row r="4114" ht="15"/>
    <row r="4115" ht="15"/>
    <row r="4116" ht="15"/>
    <row r="4117" ht="15"/>
    <row r="4118" ht="15"/>
    <row r="4119" ht="15"/>
    <row r="4120" ht="15"/>
    <row r="4121" ht="15"/>
    <row r="4122" ht="15"/>
    <row r="4123" ht="15"/>
    <row r="4124" ht="15"/>
    <row r="4125" ht="15"/>
    <row r="4126" ht="15"/>
    <row r="4127" ht="15"/>
    <row r="4128" ht="15"/>
    <row r="4129" ht="15"/>
    <row r="4130" ht="15"/>
    <row r="4131" ht="15"/>
    <row r="4132" ht="15"/>
    <row r="4133" ht="15"/>
    <row r="4134" ht="15"/>
    <row r="4135" ht="15"/>
    <row r="4136" ht="15"/>
    <row r="4137" ht="15"/>
    <row r="4138" ht="15"/>
    <row r="4139" ht="15"/>
    <row r="4140" ht="15"/>
    <row r="4141" ht="15"/>
    <row r="4142" ht="15"/>
    <row r="4143" ht="15"/>
    <row r="4144" ht="15"/>
    <row r="4145" ht="15"/>
    <row r="4146" ht="15"/>
    <row r="4147" ht="15"/>
    <row r="4148" ht="15"/>
    <row r="4149" ht="15"/>
    <row r="4150" ht="15"/>
    <row r="4151" ht="15"/>
    <row r="4152" ht="15"/>
    <row r="4153" ht="15"/>
    <row r="4154" ht="15"/>
    <row r="4155" ht="15"/>
    <row r="4156" ht="15"/>
    <row r="4157" ht="15"/>
    <row r="4158" ht="15"/>
    <row r="4159" ht="15"/>
    <row r="4160" ht="15"/>
    <row r="4161" ht="15"/>
    <row r="4162" ht="15"/>
    <row r="4163" ht="15"/>
    <row r="4164" ht="15"/>
    <row r="4165" ht="15"/>
    <row r="4166" ht="15"/>
    <row r="4167" ht="15"/>
    <row r="4168" ht="15"/>
    <row r="4169" ht="15"/>
    <row r="4170" ht="15"/>
    <row r="4171" ht="15"/>
    <row r="4172" ht="15"/>
    <row r="4173" ht="15"/>
    <row r="4174" ht="15"/>
    <row r="4175" ht="15"/>
    <row r="4176" ht="15"/>
    <row r="4177" ht="15"/>
    <row r="4178" ht="15"/>
    <row r="4179" ht="15"/>
    <row r="4180" ht="15"/>
    <row r="4181" ht="15"/>
    <row r="4182" ht="15"/>
    <row r="4183" ht="15"/>
    <row r="4184" ht="15"/>
    <row r="4185" ht="15"/>
    <row r="4186" ht="15"/>
    <row r="4187" ht="15"/>
    <row r="4188" ht="15"/>
    <row r="4189" ht="15"/>
    <row r="4190" ht="15"/>
    <row r="4191" ht="15"/>
    <row r="4192" ht="15"/>
    <row r="4193" ht="15"/>
    <row r="4194" ht="15"/>
    <row r="4195" ht="15"/>
    <row r="4196" ht="15"/>
    <row r="4197" ht="15"/>
    <row r="4198" ht="15"/>
    <row r="4199" ht="15"/>
    <row r="4200" ht="15"/>
    <row r="4201" ht="15"/>
    <row r="4202" ht="15"/>
    <row r="4203" ht="15"/>
    <row r="4204" ht="15"/>
    <row r="4205" ht="15"/>
    <row r="4206" ht="15"/>
    <row r="4207" ht="15"/>
    <row r="4208" ht="15"/>
    <row r="4209" ht="15"/>
    <row r="4210" ht="15"/>
    <row r="4211" ht="15"/>
    <row r="4212" ht="15"/>
    <row r="4213" ht="15"/>
    <row r="4214" ht="15"/>
    <row r="4215" ht="15"/>
    <row r="4216" ht="15"/>
    <row r="4217" ht="15"/>
    <row r="4218" ht="15"/>
    <row r="4219" ht="15"/>
    <row r="4220" ht="15"/>
    <row r="4221" ht="15"/>
    <row r="4222" ht="15"/>
    <row r="4223" ht="15"/>
    <row r="4224" ht="15"/>
    <row r="4225" ht="15"/>
    <row r="4226" ht="15"/>
    <row r="4227" ht="15"/>
    <row r="4228" ht="15"/>
    <row r="4229" ht="15"/>
    <row r="4230" ht="15"/>
    <row r="4231" ht="15"/>
    <row r="4232" ht="15"/>
    <row r="4233" ht="15"/>
    <row r="4234" ht="15"/>
    <row r="4235" ht="15"/>
    <row r="4236" ht="15"/>
    <row r="4237" ht="15"/>
    <row r="4238" ht="15"/>
    <row r="4239" ht="15"/>
    <row r="4240" ht="15"/>
    <row r="4241" ht="15"/>
    <row r="4242" ht="15"/>
    <row r="4243" ht="15"/>
    <row r="4244" ht="15"/>
    <row r="4245" ht="15"/>
    <row r="4246" ht="15"/>
    <row r="4247" ht="15"/>
    <row r="4248" ht="15"/>
    <row r="4249" ht="15"/>
    <row r="4250" ht="15"/>
    <row r="4251" ht="15"/>
    <row r="4252" ht="15"/>
    <row r="4253" ht="15"/>
    <row r="4254" ht="15"/>
    <row r="4255" ht="15"/>
    <row r="4256" ht="15"/>
    <row r="4257" ht="15"/>
    <row r="4258" ht="15"/>
    <row r="4259" ht="15"/>
    <row r="4260" ht="15"/>
    <row r="4261" ht="15"/>
    <row r="4262" ht="15"/>
    <row r="4263" ht="15"/>
    <row r="4264" ht="15"/>
    <row r="4265" ht="15"/>
    <row r="4266" ht="15"/>
    <row r="4267" ht="15"/>
    <row r="4268" ht="15"/>
    <row r="4269" ht="15"/>
    <row r="4270" ht="15"/>
    <row r="4271" ht="15"/>
    <row r="4272" ht="15"/>
    <row r="4273" ht="15"/>
    <row r="4274" ht="15"/>
    <row r="4275" ht="15"/>
    <row r="4276" ht="15"/>
    <row r="4277" ht="15"/>
    <row r="4278" ht="15"/>
    <row r="4279" ht="15"/>
    <row r="4280" ht="15"/>
    <row r="4281" ht="15"/>
    <row r="4282" ht="15"/>
    <row r="4283" ht="15"/>
    <row r="4284" ht="15"/>
    <row r="4285" ht="15"/>
    <row r="4286" ht="15"/>
    <row r="4287" ht="15"/>
    <row r="4288" ht="15"/>
    <row r="4289" ht="15"/>
    <row r="4290" ht="15"/>
    <row r="4291" ht="15"/>
    <row r="4292" ht="15"/>
    <row r="4293" ht="15"/>
    <row r="4294" ht="15"/>
    <row r="4295" ht="15"/>
    <row r="4296" ht="15"/>
    <row r="4297" ht="15"/>
    <row r="4298" ht="15"/>
    <row r="4299" ht="15"/>
    <row r="4300" ht="15"/>
    <row r="4301" ht="15"/>
    <row r="4302" ht="15"/>
    <row r="4303" ht="15"/>
    <row r="4304" ht="15"/>
    <row r="4305" ht="15"/>
    <row r="4306" ht="15"/>
    <row r="4307" ht="15"/>
    <row r="4308" ht="15"/>
    <row r="4309" ht="15"/>
    <row r="4310" ht="15"/>
    <row r="4311" ht="15"/>
    <row r="4312" ht="15"/>
    <row r="4313" ht="15"/>
    <row r="4314" ht="15"/>
    <row r="4315" ht="15"/>
    <row r="4316" ht="15"/>
    <row r="4317" ht="15"/>
    <row r="4318" ht="15"/>
    <row r="4319" ht="15"/>
    <row r="4320" ht="15"/>
    <row r="4321" ht="15"/>
    <row r="4322" ht="15"/>
    <row r="4323" ht="15"/>
    <row r="4324" ht="15"/>
    <row r="4325" ht="15"/>
    <row r="4326" ht="15"/>
    <row r="4327" ht="15"/>
    <row r="4328" ht="15"/>
    <row r="4329" ht="15"/>
    <row r="4330" ht="15"/>
    <row r="4331" ht="15"/>
    <row r="4332" ht="15"/>
    <row r="4333" ht="15"/>
    <row r="4334" ht="15"/>
    <row r="4335" ht="15"/>
    <row r="4336" ht="15"/>
    <row r="4337" ht="15"/>
    <row r="4338" ht="15"/>
    <row r="4339" ht="15"/>
    <row r="4340" ht="15"/>
    <row r="4341" ht="15"/>
    <row r="4342" ht="15"/>
    <row r="4343" ht="15"/>
    <row r="4344" ht="15"/>
    <row r="4345" ht="15"/>
    <row r="4346" ht="15"/>
    <row r="4347" ht="15"/>
    <row r="4348" ht="15"/>
    <row r="4349" ht="15"/>
    <row r="4350" ht="15"/>
    <row r="4351" ht="15"/>
    <row r="4352" ht="15"/>
    <row r="4353" ht="15"/>
    <row r="4354" ht="15"/>
    <row r="4355" ht="15"/>
    <row r="4356" ht="15"/>
    <row r="4357" ht="15"/>
    <row r="4358" ht="15"/>
    <row r="4359" ht="15"/>
    <row r="4360" ht="15"/>
    <row r="4361" ht="15"/>
    <row r="4362" ht="15"/>
    <row r="4363" ht="15"/>
    <row r="4364" ht="15"/>
    <row r="4365" ht="15"/>
    <row r="4366" ht="15"/>
    <row r="4367" ht="15"/>
    <row r="4368" ht="15"/>
    <row r="4369" ht="15"/>
    <row r="4370" ht="15"/>
    <row r="4371" ht="15"/>
    <row r="4372" ht="15"/>
    <row r="4373" ht="15"/>
    <row r="4374" ht="15"/>
    <row r="4375" ht="15"/>
    <row r="4376" ht="15"/>
    <row r="4377" ht="15"/>
    <row r="4378" ht="15"/>
    <row r="4379" ht="15"/>
    <row r="4380" ht="15"/>
    <row r="4381" ht="15"/>
    <row r="4382" ht="15"/>
    <row r="4383" ht="15"/>
    <row r="4384" ht="15"/>
    <row r="4385" ht="15"/>
    <row r="4386" ht="15"/>
    <row r="4387" ht="15"/>
    <row r="4388" ht="15"/>
    <row r="4389" ht="15"/>
    <row r="4390" ht="15"/>
    <row r="4391" ht="15"/>
    <row r="4392" ht="15"/>
    <row r="4393" ht="15"/>
    <row r="4394" ht="15"/>
    <row r="4395" ht="15"/>
    <row r="4396" ht="15"/>
    <row r="4397" ht="15"/>
    <row r="4398" ht="15"/>
    <row r="4399" ht="15"/>
    <row r="4400" ht="15"/>
    <row r="4401" ht="15"/>
    <row r="4402" ht="15"/>
    <row r="4403" ht="15"/>
    <row r="4404" ht="15"/>
    <row r="4405" ht="15"/>
    <row r="4406" ht="15"/>
    <row r="4407" ht="15"/>
    <row r="4408" ht="15"/>
    <row r="4409" ht="15"/>
    <row r="4410" ht="15"/>
    <row r="4411" ht="15"/>
    <row r="4412" ht="15"/>
    <row r="4413" ht="15"/>
    <row r="4414" ht="15"/>
    <row r="4415" ht="15"/>
    <row r="4416" ht="15"/>
    <row r="4417" ht="15"/>
    <row r="4418" ht="15"/>
    <row r="4419" ht="15"/>
    <row r="4420" ht="15"/>
    <row r="4421" ht="15"/>
    <row r="4422" ht="15"/>
    <row r="4423" ht="15"/>
    <row r="4424" ht="15"/>
    <row r="4425" ht="15"/>
    <row r="4426" ht="15"/>
    <row r="4427" ht="15"/>
    <row r="4428" ht="15"/>
    <row r="4429" ht="15"/>
    <row r="4430" ht="15"/>
    <row r="4431" ht="15"/>
    <row r="4432" ht="15"/>
    <row r="4433" ht="15"/>
    <row r="4434" ht="15"/>
    <row r="4435" ht="15"/>
    <row r="4436" ht="15"/>
    <row r="4437" ht="15"/>
    <row r="4438" ht="15"/>
    <row r="4439" ht="15"/>
    <row r="4440" ht="15"/>
    <row r="4441" ht="15"/>
    <row r="4442" ht="15"/>
    <row r="4443" ht="15"/>
    <row r="4444" ht="15"/>
    <row r="4445" ht="15"/>
    <row r="4446" ht="15"/>
    <row r="4447" ht="15"/>
    <row r="4448" ht="15"/>
    <row r="4449" ht="15"/>
    <row r="4450" ht="15"/>
    <row r="4451" ht="15"/>
    <row r="4452" ht="15"/>
    <row r="4453" ht="15"/>
    <row r="4454" ht="15"/>
    <row r="4455" ht="15"/>
    <row r="4456" ht="15"/>
    <row r="4457" ht="15"/>
    <row r="4458" ht="15"/>
    <row r="4459" ht="15"/>
    <row r="4460" ht="15"/>
    <row r="4461" ht="15"/>
    <row r="4462" ht="15"/>
    <row r="4463" ht="15"/>
    <row r="4464" ht="15"/>
    <row r="4465" ht="15"/>
    <row r="4466" ht="15"/>
    <row r="4467" ht="15"/>
    <row r="4468" ht="15"/>
    <row r="4469" ht="15"/>
    <row r="4470" ht="15"/>
    <row r="4471" ht="15"/>
    <row r="4472" ht="15"/>
    <row r="4473" ht="15"/>
    <row r="4474" ht="15"/>
    <row r="4475" ht="15"/>
    <row r="4476" ht="15"/>
    <row r="4477" ht="15"/>
    <row r="4478" ht="15"/>
    <row r="4479" ht="15"/>
    <row r="4480" ht="15"/>
    <row r="4481" ht="15"/>
    <row r="4482" ht="15"/>
    <row r="4483" ht="15"/>
    <row r="4484" ht="15"/>
    <row r="4485" ht="15"/>
    <row r="4486" ht="15"/>
    <row r="4487" ht="15"/>
    <row r="4488" ht="15"/>
    <row r="4489" ht="15"/>
    <row r="4490" ht="15"/>
    <row r="4491" ht="15"/>
    <row r="4492" ht="15"/>
    <row r="4493" ht="15"/>
    <row r="4494" ht="15"/>
    <row r="4495" ht="15"/>
    <row r="4496" ht="15"/>
    <row r="4497" ht="15"/>
    <row r="4498" ht="15"/>
    <row r="4499" ht="15"/>
    <row r="4500" ht="15"/>
    <row r="4501" ht="15"/>
    <row r="4502" ht="15"/>
    <row r="4503" ht="15"/>
    <row r="4504" ht="15"/>
    <row r="4505" ht="15"/>
    <row r="4506" ht="15"/>
    <row r="4507" ht="15"/>
    <row r="4508" ht="15"/>
    <row r="4509" ht="15"/>
    <row r="4510" ht="15"/>
    <row r="4511" ht="15"/>
    <row r="4512" ht="15"/>
    <row r="4513" ht="15"/>
    <row r="4514" ht="15"/>
    <row r="4515" ht="15"/>
    <row r="4516" ht="15"/>
    <row r="4517" ht="15"/>
    <row r="4518" ht="15"/>
    <row r="4519" ht="15"/>
    <row r="4520" ht="15"/>
    <row r="4521" ht="15"/>
    <row r="4522" ht="15"/>
    <row r="4523" ht="15"/>
    <row r="4524" ht="15"/>
    <row r="4525" ht="15"/>
    <row r="4526" ht="15"/>
    <row r="4527" ht="15"/>
    <row r="4528" ht="15"/>
    <row r="4529" ht="15"/>
    <row r="4530" ht="15"/>
    <row r="4531" ht="15"/>
    <row r="4532" ht="15"/>
    <row r="4533" ht="15"/>
    <row r="4534" ht="15"/>
    <row r="4535" ht="15"/>
    <row r="4536" ht="15"/>
    <row r="4537" ht="15"/>
    <row r="4538" ht="15"/>
    <row r="4539" ht="15"/>
    <row r="4540" ht="15"/>
    <row r="4541" ht="15"/>
    <row r="4542" ht="15"/>
    <row r="4543" ht="15"/>
    <row r="4544" ht="15"/>
    <row r="4545" ht="15"/>
    <row r="4546" ht="15"/>
    <row r="4547" ht="15"/>
    <row r="4548" ht="15"/>
    <row r="4549" ht="15"/>
    <row r="4550" ht="15"/>
    <row r="4551" ht="15"/>
    <row r="4552" ht="15"/>
    <row r="4553" ht="15"/>
    <row r="4554" ht="15"/>
    <row r="4555" ht="15"/>
    <row r="4556" ht="15"/>
    <row r="4557" ht="15"/>
    <row r="4558" ht="15"/>
    <row r="4559" ht="15"/>
    <row r="4560" ht="15"/>
    <row r="4561" ht="15"/>
    <row r="4562" ht="15"/>
    <row r="4563" ht="15"/>
    <row r="4564" ht="15"/>
    <row r="4565" ht="15"/>
    <row r="4566" ht="15"/>
    <row r="4567" ht="15"/>
    <row r="4568" ht="15"/>
    <row r="4569" ht="15"/>
    <row r="4570" ht="15"/>
    <row r="4571" ht="15"/>
    <row r="4572" ht="15"/>
    <row r="4573" ht="15"/>
    <row r="4574" ht="15"/>
    <row r="4575" ht="15"/>
    <row r="4576" ht="15"/>
    <row r="4577" ht="15"/>
    <row r="4578" ht="15"/>
    <row r="4579" ht="15"/>
    <row r="4580" ht="15"/>
    <row r="4581" ht="15"/>
    <row r="4582" ht="15"/>
    <row r="4583" ht="15"/>
    <row r="4584" ht="15"/>
    <row r="4585" ht="15"/>
    <row r="4586" ht="15"/>
    <row r="4587" ht="15"/>
    <row r="4588" ht="15"/>
    <row r="4589" ht="15"/>
    <row r="4590" ht="15"/>
    <row r="4591" ht="15"/>
    <row r="4592" ht="15"/>
    <row r="4593" ht="15"/>
    <row r="4594" ht="15"/>
    <row r="4595" ht="15"/>
    <row r="4596" ht="15"/>
    <row r="4597" ht="15"/>
    <row r="4598" ht="15"/>
    <row r="4599" ht="15"/>
    <row r="4600" ht="15"/>
    <row r="4601" ht="15"/>
    <row r="4602" ht="15"/>
    <row r="4603" ht="15"/>
    <row r="4604" ht="15"/>
    <row r="4605" ht="15"/>
    <row r="4606" ht="15"/>
    <row r="4607" ht="15"/>
    <row r="4608" ht="15"/>
    <row r="4609" ht="15"/>
    <row r="4610" ht="15"/>
    <row r="4611" ht="15"/>
    <row r="4612" ht="15"/>
    <row r="4613" ht="15"/>
    <row r="4614" ht="15"/>
    <row r="4615" ht="15"/>
    <row r="4616" ht="15"/>
    <row r="4617" ht="15"/>
    <row r="4618" ht="15"/>
    <row r="4619" ht="15"/>
    <row r="4620" ht="15"/>
    <row r="4621" ht="15"/>
    <row r="4622" ht="15"/>
    <row r="4623" ht="15"/>
    <row r="4624" ht="15"/>
    <row r="4625" ht="15"/>
    <row r="4626" ht="15"/>
    <row r="4627" ht="15"/>
    <row r="4628" ht="15"/>
    <row r="4629" ht="15"/>
    <row r="4630" ht="15"/>
    <row r="4631" ht="15"/>
    <row r="4632" ht="15"/>
    <row r="4633" ht="15"/>
    <row r="4634" ht="15"/>
    <row r="4635" ht="15"/>
    <row r="4636" ht="15"/>
    <row r="4637" ht="15"/>
    <row r="4638" ht="15"/>
    <row r="4639" ht="15"/>
    <row r="4640" ht="15"/>
    <row r="4641" ht="15"/>
    <row r="4642" ht="15"/>
    <row r="4643" ht="15"/>
    <row r="4644" ht="15"/>
    <row r="4645" ht="15"/>
    <row r="4646" ht="15"/>
    <row r="4647" ht="15"/>
    <row r="4648" ht="15"/>
    <row r="4649" ht="15"/>
    <row r="4650" ht="15"/>
    <row r="4651" ht="15"/>
    <row r="4652" ht="15"/>
    <row r="4653" ht="15"/>
    <row r="4654" ht="15"/>
    <row r="4655" ht="15"/>
    <row r="4656" ht="15"/>
    <row r="4657" ht="15"/>
    <row r="4658" ht="15"/>
    <row r="4659" ht="15"/>
    <row r="4660" ht="15"/>
    <row r="4661" ht="15"/>
    <row r="4662" ht="15"/>
    <row r="4663" ht="15"/>
    <row r="4664" ht="15"/>
    <row r="4665" ht="15"/>
    <row r="4666" ht="15"/>
    <row r="4667" ht="15"/>
    <row r="4668" ht="15"/>
    <row r="4669" ht="15"/>
    <row r="4670" ht="15"/>
    <row r="4671" ht="15"/>
    <row r="4672" ht="15"/>
    <row r="4673" ht="15"/>
    <row r="4674" ht="15"/>
    <row r="4675" ht="15"/>
    <row r="4676" ht="15"/>
    <row r="4677" ht="15"/>
    <row r="4678" ht="15"/>
    <row r="4679" ht="15"/>
    <row r="4680" ht="15"/>
    <row r="4681" ht="15"/>
    <row r="4682" ht="15"/>
    <row r="4683" ht="15"/>
    <row r="4684" ht="15"/>
    <row r="4685" ht="15"/>
    <row r="4686" ht="15"/>
    <row r="4687" ht="15"/>
    <row r="4688" ht="15"/>
    <row r="4689" ht="15"/>
    <row r="4690" ht="15"/>
    <row r="4691" ht="15"/>
    <row r="4692" ht="15"/>
    <row r="4693" ht="15"/>
    <row r="4694" ht="15"/>
    <row r="4695" ht="15"/>
    <row r="4696" ht="15"/>
    <row r="4697" ht="15"/>
    <row r="4698" ht="15"/>
    <row r="4699" ht="15"/>
    <row r="4700" ht="15"/>
    <row r="4701" ht="15"/>
    <row r="4702" ht="15"/>
    <row r="4703" ht="15"/>
    <row r="4704" ht="15"/>
    <row r="4705" ht="15"/>
    <row r="4706" ht="15"/>
    <row r="4707" ht="15"/>
    <row r="4708" ht="15"/>
    <row r="4709" ht="15"/>
    <row r="4710" ht="15"/>
    <row r="4711" ht="15"/>
    <row r="4712" ht="15"/>
    <row r="4713" ht="15"/>
    <row r="4714" ht="15"/>
    <row r="4715" ht="15"/>
    <row r="4716" ht="15"/>
    <row r="4717" ht="15"/>
    <row r="4718" ht="15"/>
    <row r="4719" ht="15"/>
    <row r="4720" ht="15"/>
    <row r="4721" ht="15"/>
    <row r="4722" ht="15"/>
    <row r="4723" ht="15"/>
    <row r="4724" ht="15"/>
    <row r="4725" ht="15"/>
    <row r="4726" ht="15"/>
    <row r="4727" ht="15"/>
    <row r="4728" ht="15"/>
    <row r="4729" ht="15"/>
    <row r="4730" ht="15"/>
    <row r="4731" ht="15"/>
    <row r="4732" ht="15"/>
    <row r="4733" ht="15"/>
    <row r="4734" ht="15"/>
    <row r="4735" ht="15"/>
    <row r="4736" ht="15"/>
    <row r="4737" ht="15"/>
    <row r="4738" ht="15"/>
    <row r="4739" ht="15"/>
    <row r="4740" ht="15"/>
    <row r="4741" ht="15"/>
    <row r="4742" ht="15"/>
    <row r="4743" ht="15"/>
    <row r="4744" ht="15"/>
    <row r="4745" ht="15"/>
    <row r="4746" ht="15"/>
    <row r="4747" ht="15"/>
    <row r="4748" ht="15"/>
    <row r="4749" ht="15"/>
    <row r="4750" ht="15"/>
    <row r="4751" ht="15"/>
    <row r="4752" ht="15"/>
    <row r="4753" ht="15"/>
    <row r="4754" ht="15"/>
    <row r="4755" ht="15"/>
    <row r="4756" ht="15"/>
    <row r="4757" ht="15"/>
    <row r="4758" ht="15"/>
    <row r="4759" ht="15"/>
    <row r="4760" ht="15"/>
    <row r="4761" ht="15"/>
    <row r="4762" ht="15"/>
    <row r="4763" ht="15"/>
    <row r="4764" ht="15"/>
    <row r="4765" ht="15"/>
    <row r="4766" ht="15"/>
    <row r="4767" ht="15"/>
    <row r="4768" ht="15"/>
    <row r="4769" ht="15"/>
    <row r="4770" ht="15"/>
    <row r="4771" ht="15"/>
    <row r="4772" ht="15"/>
    <row r="4773" ht="15"/>
    <row r="4774" ht="15"/>
    <row r="4775" ht="15"/>
    <row r="4776" ht="15"/>
    <row r="4777" ht="15"/>
    <row r="4778" ht="15"/>
    <row r="4779" ht="15"/>
    <row r="4780" ht="15"/>
    <row r="4781" ht="15"/>
    <row r="4782" ht="15"/>
    <row r="4783" ht="15"/>
    <row r="4784" ht="15"/>
    <row r="4785" ht="15"/>
    <row r="4786" ht="15"/>
    <row r="4787" ht="15"/>
    <row r="4788" ht="15"/>
    <row r="4789" ht="15"/>
    <row r="4790" ht="15"/>
    <row r="4791" ht="15"/>
    <row r="4792" ht="15"/>
    <row r="4793" ht="15"/>
    <row r="4794" ht="15"/>
    <row r="4795" ht="15"/>
    <row r="4796" ht="15"/>
    <row r="4797" ht="15"/>
    <row r="4798" ht="15"/>
    <row r="4799" ht="15"/>
    <row r="4800" ht="15"/>
    <row r="4801" ht="15"/>
    <row r="4802" ht="15"/>
    <row r="4803" ht="15"/>
    <row r="4804" ht="15"/>
    <row r="4805" ht="15"/>
    <row r="4806" ht="15"/>
    <row r="4807" ht="15"/>
    <row r="4808" ht="15"/>
    <row r="4809" ht="15"/>
    <row r="4810" ht="15"/>
    <row r="4811" ht="15"/>
    <row r="4812" ht="15"/>
    <row r="4813" ht="15"/>
    <row r="4814" ht="15"/>
    <row r="4815" ht="15"/>
    <row r="4816" ht="15"/>
    <row r="4817" ht="15"/>
    <row r="4818" ht="15"/>
    <row r="4819" ht="15"/>
    <row r="4820" ht="15"/>
    <row r="4821" ht="15"/>
    <row r="4822" ht="15"/>
    <row r="4823" ht="15"/>
    <row r="4824" ht="15"/>
    <row r="4825" ht="15"/>
    <row r="4826" ht="15"/>
    <row r="4827" ht="15"/>
    <row r="4828" ht="15"/>
    <row r="4829" ht="15"/>
    <row r="4830" ht="15"/>
    <row r="4831" ht="15"/>
    <row r="4832" ht="15"/>
    <row r="4833" ht="15"/>
    <row r="4834" ht="15"/>
    <row r="4835" ht="15"/>
    <row r="4836" ht="15"/>
    <row r="4837" ht="15"/>
    <row r="4838" ht="15"/>
    <row r="4839" ht="15"/>
    <row r="4840" ht="15"/>
    <row r="4841" ht="15"/>
    <row r="4842" ht="15"/>
    <row r="4843" ht="15"/>
    <row r="4844" ht="15"/>
    <row r="4845" ht="15"/>
    <row r="4846" ht="15"/>
    <row r="4847" ht="15"/>
    <row r="4848" ht="15"/>
    <row r="4849" ht="15"/>
    <row r="4850" ht="15"/>
    <row r="4851" ht="15"/>
    <row r="4852" ht="15"/>
    <row r="4853" ht="15"/>
    <row r="4854" ht="15"/>
    <row r="4855" ht="15"/>
    <row r="4856" ht="15"/>
    <row r="4857" ht="15"/>
    <row r="4858" ht="15"/>
    <row r="4859" ht="15"/>
    <row r="4860" ht="15"/>
    <row r="4861" ht="15"/>
    <row r="4862" ht="15"/>
    <row r="4863" ht="15"/>
    <row r="4864" ht="15"/>
    <row r="4865" ht="15"/>
    <row r="4866" ht="15"/>
    <row r="4867" ht="15"/>
    <row r="4868" ht="15"/>
    <row r="4869" ht="15"/>
    <row r="4870" ht="15"/>
    <row r="4871" ht="15"/>
    <row r="4872" ht="15"/>
    <row r="4873" ht="15"/>
    <row r="4874" ht="15"/>
    <row r="4875" ht="15"/>
    <row r="4876" ht="15"/>
    <row r="4877" ht="15"/>
    <row r="4878" ht="15"/>
    <row r="4879" ht="15"/>
    <row r="4880" ht="15"/>
    <row r="4881" ht="15"/>
    <row r="4882" ht="15"/>
    <row r="4883" ht="15"/>
    <row r="4884" ht="15"/>
    <row r="4885" ht="15"/>
    <row r="4886" ht="15"/>
    <row r="4887" ht="15"/>
    <row r="4888" ht="15"/>
    <row r="4889" ht="15"/>
    <row r="4890" ht="15"/>
    <row r="4891" ht="15"/>
    <row r="4892" ht="15"/>
    <row r="4893" ht="15"/>
    <row r="4894" ht="15"/>
    <row r="4895" ht="15"/>
    <row r="4896" ht="15"/>
    <row r="4897" ht="15"/>
    <row r="4898" ht="15"/>
    <row r="4899" ht="15"/>
    <row r="4900" ht="15"/>
    <row r="4901" ht="15"/>
    <row r="4902" ht="15"/>
    <row r="4903" ht="15"/>
    <row r="4904" ht="15"/>
    <row r="4905" ht="15"/>
    <row r="4906" ht="15"/>
    <row r="4907" ht="15"/>
    <row r="4908" ht="15"/>
    <row r="4909" ht="15"/>
    <row r="4910" ht="15"/>
    <row r="4911" ht="15"/>
    <row r="4912" ht="15"/>
    <row r="4913" ht="15"/>
    <row r="4914" ht="15"/>
    <row r="4915" ht="15"/>
    <row r="4916" ht="15"/>
    <row r="4917" ht="15"/>
    <row r="4918" ht="15"/>
    <row r="4919" ht="15"/>
    <row r="4920" ht="15"/>
    <row r="4921" ht="15"/>
    <row r="4922" ht="15"/>
    <row r="4923" ht="15"/>
    <row r="4924" ht="15"/>
    <row r="4925" ht="15"/>
    <row r="4926" ht="15"/>
    <row r="4927" ht="15"/>
    <row r="4928" ht="15"/>
    <row r="4929" ht="15"/>
    <row r="4930" ht="15"/>
    <row r="4931" ht="15"/>
    <row r="4932" ht="15"/>
    <row r="4933" ht="15"/>
    <row r="4934" ht="15"/>
    <row r="4935" ht="15"/>
    <row r="4936" ht="15"/>
    <row r="4937" ht="15"/>
    <row r="4938" ht="15"/>
    <row r="4939" ht="15"/>
    <row r="4940" ht="15"/>
    <row r="4941" ht="15"/>
    <row r="4942" ht="15"/>
    <row r="4943" ht="15"/>
    <row r="4944" ht="15"/>
    <row r="4945" ht="15"/>
    <row r="4946" ht="15"/>
    <row r="4947" ht="15"/>
    <row r="4948" ht="15"/>
    <row r="4949" ht="15"/>
    <row r="4950" ht="15"/>
    <row r="4951" ht="15"/>
    <row r="4952" ht="15"/>
    <row r="4953" ht="15"/>
    <row r="4954" ht="15"/>
    <row r="4955" ht="15"/>
    <row r="4956" ht="15"/>
    <row r="4957" ht="15"/>
    <row r="4958" ht="15"/>
    <row r="4959" ht="15"/>
    <row r="4960" ht="15"/>
    <row r="4961" ht="15"/>
    <row r="4962" ht="15"/>
    <row r="4963" ht="15"/>
    <row r="4964" ht="15"/>
    <row r="4965" ht="15"/>
    <row r="4966" ht="15"/>
    <row r="4967" ht="15"/>
    <row r="4968" ht="15"/>
    <row r="4969" ht="15"/>
    <row r="4970" ht="15"/>
    <row r="4971" ht="15"/>
    <row r="4972" ht="15"/>
    <row r="4973" ht="15"/>
    <row r="4974" ht="15"/>
    <row r="4975" ht="15"/>
    <row r="4976" ht="15"/>
    <row r="4977" ht="15"/>
    <row r="4978" ht="15"/>
    <row r="4979" ht="15"/>
    <row r="4980" ht="15"/>
    <row r="4981" ht="15"/>
    <row r="4982" ht="15"/>
    <row r="4983" ht="15"/>
    <row r="4984" ht="15"/>
    <row r="4985" ht="15"/>
    <row r="4986" ht="15"/>
    <row r="4987" ht="15"/>
    <row r="4988" ht="15"/>
    <row r="4989" ht="15"/>
    <row r="4990" ht="15"/>
    <row r="4991" ht="15"/>
    <row r="4992" ht="15"/>
    <row r="4993" ht="15"/>
    <row r="4994" ht="15"/>
    <row r="4995" ht="15"/>
    <row r="4996" ht="15"/>
    <row r="4997" ht="15"/>
    <row r="4998" ht="15"/>
    <row r="4999" ht="15"/>
  </sheetData>
  <sheetProtection password="B6E0" sheet="1" objects="1" scenarios="1"/>
  <protectedRanges>
    <protectedRange sqref="A1:A4999" name="Rango1"/>
  </protectedRanges>
  <pageMargins left="0.7" right="0.7" top="0.75" bottom="0.75" header="0.3" footer="0.3"/>
  <pageSetup paperSize="9" orientation="portrait" r:id="rId1"/>
  <ignoredErrors>
    <ignoredError sqref="C1:C49" unlocked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2"/>
  <dimension ref="A1:J99"/>
  <sheetViews>
    <sheetView workbookViewId="0">
      <selection activeCell="A27" sqref="A27"/>
    </sheetView>
  </sheetViews>
  <sheetFormatPr baseColWidth="10" defaultRowHeight="15"/>
  <cols>
    <col min="1" max="1" width="95.85546875" customWidth="1"/>
  </cols>
  <sheetData>
    <row r="1" spans="1:10">
      <c r="A1" s="35" t="s">
        <v>0</v>
      </c>
      <c r="B1" s="35"/>
      <c r="C1" s="35"/>
      <c r="D1" s="35"/>
      <c r="E1" s="35"/>
      <c r="F1" s="35"/>
      <c r="G1" s="35"/>
      <c r="H1" s="35"/>
      <c r="I1" s="35"/>
      <c r="J1" s="35"/>
    </row>
    <row r="2" spans="1:10">
      <c r="A2" s="35" t="s">
        <v>112</v>
      </c>
      <c r="B2" s="35"/>
      <c r="C2" s="35"/>
      <c r="D2" s="35"/>
      <c r="E2" s="35"/>
      <c r="F2" s="35"/>
      <c r="G2" s="35"/>
      <c r="H2" s="35"/>
      <c r="I2" s="35"/>
      <c r="J2" s="35"/>
    </row>
    <row r="3" spans="1:10">
      <c r="A3" s="35" t="s">
        <v>0</v>
      </c>
      <c r="B3" s="35"/>
      <c r="C3" s="35"/>
      <c r="D3" s="35"/>
      <c r="E3" s="35"/>
      <c r="F3" s="35"/>
      <c r="G3" s="35"/>
      <c r="H3" s="35"/>
      <c r="I3" s="35"/>
      <c r="J3" s="35"/>
    </row>
    <row r="4" spans="1:10">
      <c r="A4" s="35"/>
      <c r="B4" s="35"/>
      <c r="C4" s="35"/>
      <c r="D4" s="35"/>
      <c r="E4" s="35"/>
      <c r="F4" s="35"/>
      <c r="G4" s="35"/>
      <c r="H4" s="35"/>
      <c r="I4" s="35"/>
      <c r="J4" s="35"/>
    </row>
    <row r="5" spans="1:10">
      <c r="A5" s="35" t="s">
        <v>105</v>
      </c>
      <c r="B5" s="35"/>
      <c r="C5" s="35"/>
      <c r="D5" s="35"/>
      <c r="E5" s="35"/>
      <c r="F5" s="35"/>
      <c r="G5" s="35"/>
      <c r="H5" s="35"/>
      <c r="I5" s="35"/>
      <c r="J5" s="35"/>
    </row>
    <row r="6" spans="1:10">
      <c r="A6" s="35" t="s">
        <v>106</v>
      </c>
      <c r="B6" s="35"/>
      <c r="C6" s="35"/>
      <c r="D6" s="35"/>
      <c r="E6" s="35"/>
      <c r="F6" s="35"/>
      <c r="G6" s="35"/>
      <c r="H6" s="35"/>
      <c r="I6" s="35"/>
      <c r="J6" s="35"/>
    </row>
    <row r="7" spans="1:10">
      <c r="A7" s="35" t="s">
        <v>107</v>
      </c>
      <c r="B7" s="35"/>
      <c r="C7" s="35"/>
      <c r="D7" s="35"/>
      <c r="E7" s="35"/>
      <c r="F7" s="35"/>
      <c r="G7" s="35"/>
      <c r="H7" s="35"/>
      <c r="I7" s="35"/>
      <c r="J7" s="35"/>
    </row>
    <row r="8" spans="1:10">
      <c r="A8" s="35" t="s">
        <v>108</v>
      </c>
      <c r="B8" s="35"/>
      <c r="C8" s="35"/>
      <c r="D8" s="35"/>
      <c r="E8" s="35"/>
      <c r="F8" s="35"/>
      <c r="G8" s="35"/>
      <c r="H8" s="35"/>
      <c r="I8" s="35"/>
      <c r="J8" s="35"/>
    </row>
    <row r="9" spans="1:10">
      <c r="A9" s="35" t="s">
        <v>109</v>
      </c>
      <c r="B9" s="35"/>
      <c r="C9" s="35"/>
      <c r="D9" s="35"/>
      <c r="E9" s="35"/>
      <c r="F9" s="35"/>
      <c r="G9" s="35"/>
      <c r="H9" s="35"/>
      <c r="I9" s="35"/>
      <c r="J9" s="35"/>
    </row>
    <row r="10" spans="1:10">
      <c r="A10" s="35" t="s">
        <v>110</v>
      </c>
      <c r="B10" s="35"/>
      <c r="C10" s="35"/>
      <c r="D10" s="35"/>
      <c r="E10" s="35"/>
      <c r="F10" s="35"/>
      <c r="G10" s="35"/>
      <c r="H10" s="35"/>
      <c r="I10" s="35"/>
      <c r="J10" s="35"/>
    </row>
    <row r="11" spans="1:10">
      <c r="A11" s="35" t="s">
        <v>111</v>
      </c>
      <c r="B11" s="35"/>
      <c r="C11" s="35"/>
      <c r="D11" s="35"/>
      <c r="E11" s="35"/>
      <c r="F11" s="35"/>
      <c r="G11" s="35"/>
      <c r="H11" s="35"/>
      <c r="I11" s="35"/>
      <c r="J11" s="35"/>
    </row>
    <row r="12" spans="1:10">
      <c r="A12" s="35"/>
      <c r="B12" s="35"/>
      <c r="C12" s="35"/>
      <c r="D12" s="35"/>
      <c r="E12" s="35"/>
      <c r="F12" s="35"/>
      <c r="G12" s="35"/>
      <c r="H12" s="35"/>
      <c r="I12" s="35"/>
      <c r="J12" s="35"/>
    </row>
    <row r="13" spans="1:10">
      <c r="A13" s="35" t="s">
        <v>114</v>
      </c>
      <c r="B13" s="35"/>
      <c r="C13" s="35"/>
      <c r="D13" s="35"/>
      <c r="E13" s="35"/>
      <c r="F13" s="35"/>
      <c r="G13" s="35"/>
      <c r="H13" s="35"/>
      <c r="I13" s="35"/>
      <c r="J13" s="35"/>
    </row>
    <row r="14" spans="1:10">
      <c r="A14" s="35" t="s">
        <v>115</v>
      </c>
      <c r="B14" s="35"/>
      <c r="C14" s="35"/>
      <c r="D14" s="35"/>
      <c r="E14" s="35"/>
      <c r="F14" s="35"/>
      <c r="G14" s="35"/>
      <c r="H14" s="35"/>
      <c r="I14" s="35"/>
      <c r="J14" s="35"/>
    </row>
    <row r="15" spans="1:10">
      <c r="A15" s="35" t="s">
        <v>116</v>
      </c>
      <c r="B15" s="35"/>
      <c r="C15" s="35"/>
      <c r="D15" s="35"/>
      <c r="E15" s="35"/>
      <c r="F15" s="35"/>
      <c r="G15" s="35"/>
      <c r="H15" s="35"/>
      <c r="I15" s="35"/>
      <c r="J15" s="35"/>
    </row>
    <row r="16" spans="1:10">
      <c r="A16" s="35" t="s">
        <v>113</v>
      </c>
      <c r="B16" s="35"/>
      <c r="C16" s="35"/>
      <c r="D16" s="35"/>
      <c r="E16" s="35"/>
      <c r="F16" s="35"/>
      <c r="G16" s="35"/>
      <c r="H16" s="35"/>
      <c r="I16" s="35"/>
      <c r="J16" s="35"/>
    </row>
    <row r="17" spans="1:10">
      <c r="A17" s="35" t="s">
        <v>117</v>
      </c>
      <c r="B17" s="35"/>
      <c r="C17" s="35"/>
      <c r="D17" s="35"/>
      <c r="E17" s="35"/>
      <c r="F17" s="35"/>
      <c r="G17" s="35"/>
      <c r="H17" s="35"/>
      <c r="I17" s="35"/>
      <c r="J17" s="35"/>
    </row>
    <row r="18" spans="1:10">
      <c r="A18" s="35" t="s">
        <v>116</v>
      </c>
      <c r="B18" s="35"/>
      <c r="C18" s="35"/>
      <c r="D18" s="35"/>
      <c r="E18" s="35"/>
      <c r="F18" s="35"/>
      <c r="G18" s="35"/>
      <c r="H18" s="35"/>
      <c r="I18" s="35"/>
      <c r="J18" s="35"/>
    </row>
    <row r="19" spans="1:10">
      <c r="A19" s="35" t="s">
        <v>113</v>
      </c>
      <c r="B19" s="35"/>
      <c r="C19" s="35"/>
      <c r="D19" s="35"/>
      <c r="E19" s="35"/>
      <c r="F19" s="35"/>
      <c r="G19" s="35"/>
      <c r="H19" s="35"/>
      <c r="I19" s="35"/>
      <c r="J19" s="35"/>
    </row>
    <row r="20" spans="1:10">
      <c r="A20" s="35" t="s">
        <v>119</v>
      </c>
      <c r="B20" s="35"/>
      <c r="C20" s="35"/>
      <c r="D20" s="35"/>
      <c r="E20" s="35"/>
      <c r="F20" s="35"/>
      <c r="G20" s="35"/>
      <c r="H20" s="35"/>
      <c r="I20" s="35"/>
      <c r="J20" s="35"/>
    </row>
    <row r="21" spans="1:10">
      <c r="A21" s="35" t="s">
        <v>118</v>
      </c>
      <c r="B21" s="35"/>
      <c r="C21" s="35"/>
      <c r="D21" s="35"/>
      <c r="E21" s="35"/>
      <c r="F21" s="35"/>
      <c r="G21" s="35"/>
      <c r="H21" s="35"/>
      <c r="I21" s="35"/>
      <c r="J21" s="35"/>
    </row>
    <row r="22" spans="1:10">
      <c r="A22" s="35" t="s">
        <v>114</v>
      </c>
      <c r="B22" s="35"/>
      <c r="C22" s="35"/>
      <c r="D22" s="35"/>
      <c r="E22" s="35"/>
      <c r="F22" s="35"/>
      <c r="G22" s="35"/>
      <c r="H22" s="35"/>
      <c r="I22" s="35"/>
      <c r="J22" s="35"/>
    </row>
    <row r="23" spans="1:10">
      <c r="A23" s="35" t="s">
        <v>114</v>
      </c>
      <c r="B23" s="35"/>
      <c r="C23" s="35"/>
      <c r="D23" s="35"/>
      <c r="E23" s="35"/>
      <c r="F23" s="35"/>
      <c r="G23" s="35"/>
      <c r="H23" s="35"/>
      <c r="I23" s="35"/>
      <c r="J23" s="35"/>
    </row>
    <row r="24" spans="1:10">
      <c r="A24" s="35"/>
      <c r="B24" s="35"/>
      <c r="C24" s="35"/>
      <c r="D24" s="35"/>
      <c r="E24" s="35"/>
      <c r="F24" s="35"/>
      <c r="G24" s="35"/>
      <c r="H24" s="35"/>
      <c r="I24" s="35"/>
      <c r="J24" s="35"/>
    </row>
    <row r="25" spans="1:10">
      <c r="A25" s="35" t="s">
        <v>0</v>
      </c>
      <c r="B25" s="35"/>
      <c r="C25" s="35"/>
      <c r="D25" s="35"/>
      <c r="E25" s="35"/>
      <c r="F25" s="35"/>
      <c r="G25" s="35"/>
      <c r="H25" s="35"/>
      <c r="I25" s="35"/>
      <c r="J25" s="35"/>
    </row>
    <row r="26" spans="1:10">
      <c r="A26" s="35"/>
      <c r="B26" s="35"/>
      <c r="C26" s="35"/>
      <c r="D26" s="35"/>
      <c r="E26" s="35"/>
      <c r="F26" s="35"/>
      <c r="G26" s="35"/>
      <c r="H26" s="35"/>
      <c r="I26" s="35"/>
      <c r="J26" s="35"/>
    </row>
    <row r="27" spans="1:10">
      <c r="A27" s="35"/>
      <c r="B27" s="35"/>
      <c r="C27" s="35"/>
      <c r="D27" s="35"/>
      <c r="E27" s="35"/>
      <c r="F27" s="35"/>
      <c r="G27" s="35"/>
      <c r="H27" s="35"/>
      <c r="I27" s="35"/>
      <c r="J27" s="35"/>
    </row>
    <row r="28" spans="1:10">
      <c r="A28" s="35"/>
      <c r="B28" s="35"/>
      <c r="C28" s="35"/>
      <c r="D28" s="35"/>
      <c r="E28" s="35"/>
      <c r="F28" s="35"/>
      <c r="G28" s="35"/>
      <c r="H28" s="35"/>
      <c r="I28" s="35"/>
      <c r="J28" s="35"/>
    </row>
    <row r="29" spans="1:10">
      <c r="A29" s="35"/>
      <c r="B29" s="35"/>
      <c r="C29" s="35"/>
      <c r="D29" s="35"/>
      <c r="E29" s="35"/>
      <c r="F29" s="35"/>
      <c r="G29" s="35"/>
      <c r="H29" s="35"/>
      <c r="I29" s="35"/>
      <c r="J29" s="35"/>
    </row>
    <row r="30" spans="1:10">
      <c r="A30" s="35"/>
      <c r="B30" s="35"/>
      <c r="C30" s="35"/>
      <c r="D30" s="35"/>
      <c r="E30" s="35"/>
      <c r="F30" s="35"/>
      <c r="G30" s="35"/>
      <c r="H30" s="35"/>
      <c r="I30" s="35"/>
      <c r="J30" s="35"/>
    </row>
    <row r="31" spans="1:10">
      <c r="A31" s="35"/>
      <c r="B31" s="35"/>
      <c r="C31" s="35"/>
      <c r="D31" s="35"/>
      <c r="E31" s="35"/>
      <c r="F31" s="35"/>
      <c r="G31" s="35"/>
      <c r="H31" s="35"/>
      <c r="I31" s="35"/>
      <c r="J31" s="35"/>
    </row>
    <row r="32" spans="1:10">
      <c r="A32" s="35"/>
      <c r="B32" s="35"/>
      <c r="C32" s="35"/>
      <c r="D32" s="35"/>
      <c r="E32" s="35"/>
      <c r="F32" s="35"/>
      <c r="G32" s="35"/>
      <c r="H32" s="35"/>
      <c r="I32" s="35"/>
      <c r="J32" s="35"/>
    </row>
    <row r="33" spans="1:10">
      <c r="A33" s="35"/>
      <c r="B33" s="35"/>
      <c r="C33" s="35"/>
      <c r="D33" s="35"/>
      <c r="E33" s="35"/>
      <c r="F33" s="35"/>
      <c r="G33" s="35"/>
      <c r="H33" s="35"/>
      <c r="I33" s="35"/>
      <c r="J33" s="35"/>
    </row>
    <row r="34" spans="1:10">
      <c r="A34" s="35"/>
      <c r="B34" s="35"/>
      <c r="C34" s="35"/>
      <c r="D34" s="35"/>
      <c r="E34" s="35"/>
      <c r="F34" s="35"/>
      <c r="G34" s="35"/>
      <c r="H34" s="35"/>
      <c r="I34" s="35"/>
      <c r="J34" s="35"/>
    </row>
    <row r="35" spans="1:10">
      <c r="A35" s="35"/>
      <c r="B35" s="35"/>
      <c r="C35" s="35"/>
      <c r="D35" s="35"/>
      <c r="E35" s="35"/>
      <c r="F35" s="35"/>
      <c r="G35" s="35"/>
      <c r="H35" s="35"/>
      <c r="I35" s="35"/>
      <c r="J35" s="35"/>
    </row>
    <row r="36" spans="1:10">
      <c r="A36" s="35"/>
      <c r="B36" s="35"/>
      <c r="C36" s="35"/>
      <c r="D36" s="35"/>
      <c r="E36" s="35"/>
      <c r="F36" s="35"/>
      <c r="G36" s="35"/>
      <c r="H36" s="35"/>
      <c r="I36" s="35"/>
      <c r="J36" s="35"/>
    </row>
    <row r="37" spans="1:10">
      <c r="A37" s="35"/>
      <c r="B37" s="35"/>
      <c r="C37" s="35"/>
      <c r="D37" s="35"/>
      <c r="E37" s="35"/>
      <c r="F37" s="35"/>
      <c r="G37" s="35"/>
      <c r="H37" s="35"/>
      <c r="I37" s="35"/>
      <c r="J37" s="35"/>
    </row>
    <row r="38" spans="1:10">
      <c r="A38" s="35"/>
      <c r="B38" s="35"/>
      <c r="C38" s="35"/>
      <c r="D38" s="35"/>
      <c r="E38" s="35"/>
      <c r="F38" s="35"/>
      <c r="G38" s="35"/>
      <c r="H38" s="35"/>
      <c r="I38" s="35"/>
      <c r="J38" s="35"/>
    </row>
    <row r="39" spans="1:10">
      <c r="A39" s="35"/>
      <c r="B39" s="35"/>
      <c r="C39" s="35"/>
      <c r="D39" s="35"/>
      <c r="E39" s="35"/>
      <c r="F39" s="35"/>
      <c r="G39" s="35"/>
      <c r="H39" s="35"/>
      <c r="I39" s="35"/>
      <c r="J39" s="35"/>
    </row>
    <row r="40" spans="1:10">
      <c r="A40" s="35"/>
      <c r="B40" s="35"/>
      <c r="C40" s="35"/>
      <c r="D40" s="35"/>
      <c r="E40" s="35"/>
      <c r="F40" s="35"/>
      <c r="G40" s="35"/>
      <c r="H40" s="35"/>
      <c r="I40" s="35"/>
      <c r="J40" s="35"/>
    </row>
    <row r="41" spans="1:10">
      <c r="A41" s="35"/>
      <c r="B41" s="35"/>
      <c r="C41" s="35"/>
      <c r="D41" s="35"/>
      <c r="E41" s="35"/>
      <c r="F41" s="35"/>
      <c r="G41" s="35"/>
      <c r="H41" s="35"/>
      <c r="I41" s="35"/>
      <c r="J41" s="35"/>
    </row>
    <row r="42" spans="1:10">
      <c r="A42" s="35"/>
      <c r="B42" s="35"/>
      <c r="C42" s="35"/>
      <c r="D42" s="35"/>
      <c r="E42" s="35"/>
      <c r="F42" s="35"/>
      <c r="G42" s="35"/>
      <c r="H42" s="35"/>
      <c r="I42" s="35"/>
      <c r="J42" s="35"/>
    </row>
    <row r="43" spans="1:10">
      <c r="A43" s="35"/>
      <c r="B43" s="35"/>
      <c r="C43" s="35"/>
      <c r="D43" s="35"/>
      <c r="E43" s="35"/>
      <c r="F43" s="35"/>
      <c r="G43" s="35"/>
      <c r="H43" s="35"/>
      <c r="I43" s="35"/>
      <c r="J43" s="35"/>
    </row>
    <row r="44" spans="1:10">
      <c r="A44" s="35"/>
      <c r="B44" s="35"/>
      <c r="C44" s="35"/>
      <c r="D44" s="35"/>
      <c r="E44" s="35"/>
      <c r="F44" s="35"/>
      <c r="G44" s="35"/>
      <c r="H44" s="35"/>
      <c r="I44" s="35"/>
      <c r="J44" s="35"/>
    </row>
    <row r="45" spans="1:10">
      <c r="A45" s="35"/>
      <c r="B45" s="35"/>
      <c r="C45" s="35"/>
      <c r="D45" s="35"/>
      <c r="E45" s="35"/>
      <c r="F45" s="35"/>
      <c r="G45" s="35"/>
      <c r="H45" s="35"/>
      <c r="I45" s="35"/>
      <c r="J45" s="35"/>
    </row>
    <row r="46" spans="1:10">
      <c r="A46" s="35"/>
      <c r="B46" s="35"/>
      <c r="C46" s="35"/>
      <c r="D46" s="35"/>
      <c r="E46" s="35"/>
      <c r="F46" s="35"/>
      <c r="G46" s="35"/>
      <c r="H46" s="35"/>
      <c r="I46" s="35"/>
      <c r="J46" s="35"/>
    </row>
    <row r="47" spans="1:10">
      <c r="A47" s="35"/>
      <c r="B47" s="35"/>
      <c r="C47" s="35"/>
      <c r="D47" s="35"/>
      <c r="E47" s="35"/>
      <c r="F47" s="35"/>
      <c r="G47" s="35"/>
      <c r="H47" s="35"/>
      <c r="I47" s="35"/>
      <c r="J47" s="35"/>
    </row>
    <row r="48" spans="1:10">
      <c r="A48" s="35"/>
      <c r="B48" s="35"/>
      <c r="C48" s="35"/>
      <c r="D48" s="35"/>
      <c r="E48" s="35"/>
      <c r="F48" s="35"/>
      <c r="G48" s="35"/>
      <c r="H48" s="35"/>
      <c r="I48" s="35"/>
      <c r="J48" s="35"/>
    </row>
    <row r="49" spans="1:10">
      <c r="A49" s="35"/>
      <c r="B49" s="35"/>
      <c r="C49" s="35"/>
      <c r="D49" s="35"/>
      <c r="E49" s="35"/>
      <c r="F49" s="35"/>
      <c r="G49" s="35"/>
      <c r="H49" s="35"/>
      <c r="I49" s="35"/>
      <c r="J49" s="35"/>
    </row>
    <row r="50" spans="1:10">
      <c r="A50" s="35"/>
      <c r="B50" s="35"/>
      <c r="C50" s="35"/>
      <c r="D50" s="35"/>
      <c r="E50" s="35"/>
      <c r="F50" s="35"/>
      <c r="G50" s="35"/>
      <c r="H50" s="35"/>
      <c r="I50" s="35"/>
      <c r="J50" s="35"/>
    </row>
    <row r="51" spans="1:10">
      <c r="A51" s="35"/>
      <c r="B51" s="35"/>
      <c r="C51" s="35"/>
      <c r="D51" s="35"/>
      <c r="E51" s="35"/>
      <c r="F51" s="35"/>
      <c r="G51" s="35"/>
      <c r="H51" s="35"/>
      <c r="I51" s="35"/>
      <c r="J51" s="35"/>
    </row>
    <row r="52" spans="1:10">
      <c r="A52" s="35"/>
      <c r="B52" s="35"/>
      <c r="C52" s="35"/>
      <c r="D52" s="35"/>
      <c r="E52" s="35"/>
      <c r="F52" s="35"/>
      <c r="G52" s="35"/>
      <c r="H52" s="35"/>
      <c r="I52" s="35"/>
      <c r="J52" s="35"/>
    </row>
    <row r="53" spans="1:10">
      <c r="A53" s="35"/>
      <c r="B53" s="35"/>
      <c r="C53" s="35"/>
      <c r="D53" s="35"/>
      <c r="E53" s="35"/>
      <c r="F53" s="35"/>
      <c r="G53" s="35"/>
      <c r="H53" s="35"/>
      <c r="I53" s="35"/>
      <c r="J53" s="35"/>
    </row>
    <row r="54" spans="1:10">
      <c r="A54" s="35"/>
      <c r="B54" s="35"/>
      <c r="C54" s="35"/>
      <c r="D54" s="35"/>
      <c r="E54" s="35"/>
      <c r="F54" s="35"/>
      <c r="G54" s="35"/>
      <c r="H54" s="35"/>
      <c r="I54" s="35"/>
      <c r="J54" s="35"/>
    </row>
    <row r="55" spans="1:10">
      <c r="A55" s="35"/>
      <c r="B55" s="35"/>
      <c r="C55" s="35"/>
      <c r="D55" s="35"/>
      <c r="E55" s="35"/>
      <c r="F55" s="35"/>
      <c r="G55" s="35"/>
      <c r="H55" s="35"/>
      <c r="I55" s="35"/>
      <c r="J55" s="35"/>
    </row>
    <row r="56" spans="1:10">
      <c r="A56" s="35"/>
      <c r="B56" s="35"/>
      <c r="C56" s="35"/>
      <c r="D56" s="35"/>
      <c r="E56" s="35"/>
      <c r="F56" s="35"/>
      <c r="G56" s="35"/>
      <c r="H56" s="35"/>
      <c r="I56" s="35"/>
      <c r="J56" s="35"/>
    </row>
    <row r="57" spans="1:10">
      <c r="A57" s="35"/>
      <c r="B57" s="35"/>
      <c r="C57" s="35"/>
      <c r="D57" s="35"/>
      <c r="E57" s="35"/>
      <c r="F57" s="35"/>
      <c r="G57" s="35"/>
      <c r="H57" s="35"/>
      <c r="I57" s="35"/>
      <c r="J57" s="35"/>
    </row>
    <row r="58" spans="1:10">
      <c r="A58" s="35"/>
      <c r="B58" s="35"/>
      <c r="C58" s="35"/>
      <c r="D58" s="35"/>
      <c r="E58" s="35"/>
      <c r="F58" s="35"/>
      <c r="G58" s="35"/>
      <c r="H58" s="35"/>
      <c r="I58" s="35"/>
      <c r="J58" s="35"/>
    </row>
    <row r="59" spans="1:10">
      <c r="A59" s="35"/>
      <c r="B59" s="35"/>
      <c r="C59" s="35"/>
      <c r="D59" s="35"/>
      <c r="E59" s="35"/>
      <c r="F59" s="35"/>
      <c r="G59" s="35"/>
      <c r="H59" s="35"/>
      <c r="I59" s="35"/>
      <c r="J59" s="35"/>
    </row>
    <row r="60" spans="1:10">
      <c r="A60" s="35"/>
      <c r="B60" s="35"/>
      <c r="C60" s="35"/>
      <c r="D60" s="35"/>
      <c r="E60" s="35"/>
      <c r="F60" s="35"/>
      <c r="G60" s="35"/>
      <c r="H60" s="35"/>
      <c r="I60" s="35"/>
      <c r="J60" s="35"/>
    </row>
    <row r="61" spans="1:10">
      <c r="A61" s="35"/>
      <c r="B61" s="35"/>
      <c r="C61" s="35"/>
      <c r="D61" s="35"/>
      <c r="E61" s="35"/>
      <c r="F61" s="35"/>
      <c r="G61" s="35"/>
      <c r="H61" s="35"/>
      <c r="I61" s="35"/>
      <c r="J61" s="35"/>
    </row>
    <row r="62" spans="1:10">
      <c r="A62" s="35"/>
      <c r="B62" s="35"/>
      <c r="C62" s="35"/>
      <c r="D62" s="35"/>
      <c r="E62" s="35"/>
      <c r="F62" s="35"/>
      <c r="G62" s="35"/>
      <c r="H62" s="35"/>
      <c r="I62" s="35"/>
      <c r="J62" s="35"/>
    </row>
    <row r="63" spans="1:10">
      <c r="A63" s="35"/>
      <c r="B63" s="35"/>
      <c r="C63" s="35"/>
      <c r="D63" s="35"/>
      <c r="E63" s="35"/>
      <c r="F63" s="35"/>
      <c r="G63" s="35"/>
      <c r="H63" s="35"/>
      <c r="I63" s="35"/>
      <c r="J63" s="35"/>
    </row>
    <row r="64" spans="1:10">
      <c r="A64" s="35"/>
      <c r="B64" s="35"/>
      <c r="C64" s="35"/>
      <c r="D64" s="35"/>
      <c r="E64" s="35"/>
      <c r="F64" s="35"/>
      <c r="G64" s="35"/>
      <c r="H64" s="35"/>
      <c r="I64" s="35"/>
      <c r="J64" s="35"/>
    </row>
    <row r="65" spans="1:10">
      <c r="A65" s="35"/>
      <c r="B65" s="35"/>
      <c r="C65" s="35"/>
      <c r="D65" s="35"/>
      <c r="E65" s="35"/>
      <c r="F65" s="35"/>
      <c r="G65" s="35"/>
      <c r="H65" s="35"/>
      <c r="I65" s="35"/>
      <c r="J65" s="35"/>
    </row>
    <row r="66" spans="1:10">
      <c r="A66" s="35"/>
      <c r="B66" s="35"/>
      <c r="C66" s="35"/>
      <c r="D66" s="35"/>
      <c r="E66" s="35"/>
      <c r="F66" s="35"/>
      <c r="G66" s="35"/>
      <c r="H66" s="35"/>
      <c r="I66" s="35"/>
      <c r="J66" s="35"/>
    </row>
    <row r="67" spans="1:10">
      <c r="A67" s="35"/>
      <c r="B67" s="35"/>
      <c r="C67" s="35"/>
      <c r="D67" s="35"/>
      <c r="E67" s="35"/>
      <c r="F67" s="35"/>
      <c r="G67" s="35"/>
      <c r="H67" s="35"/>
      <c r="I67" s="35"/>
      <c r="J67" s="35"/>
    </row>
    <row r="68" spans="1:10">
      <c r="A68" s="35"/>
      <c r="B68" s="35"/>
      <c r="C68" s="35"/>
      <c r="D68" s="35"/>
      <c r="E68" s="35"/>
      <c r="F68" s="35"/>
      <c r="G68" s="35"/>
      <c r="H68" s="35"/>
      <c r="I68" s="35"/>
      <c r="J68" s="35"/>
    </row>
    <row r="69" spans="1:10">
      <c r="A69" s="35"/>
      <c r="B69" s="35"/>
      <c r="C69" s="35"/>
      <c r="D69" s="35"/>
      <c r="E69" s="35"/>
      <c r="F69" s="35"/>
      <c r="G69" s="35"/>
      <c r="H69" s="35"/>
      <c r="I69" s="35"/>
      <c r="J69" s="35"/>
    </row>
    <row r="70" spans="1:10">
      <c r="A70" s="35"/>
      <c r="B70" s="35"/>
      <c r="C70" s="35"/>
      <c r="D70" s="35"/>
      <c r="E70" s="35"/>
      <c r="F70" s="35"/>
      <c r="G70" s="35"/>
      <c r="H70" s="35"/>
      <c r="I70" s="35"/>
      <c r="J70" s="35"/>
    </row>
    <row r="71" spans="1:10">
      <c r="A71" s="35"/>
      <c r="B71" s="35"/>
      <c r="C71" s="35"/>
      <c r="D71" s="35"/>
      <c r="E71" s="35"/>
      <c r="F71" s="35"/>
      <c r="G71" s="35"/>
      <c r="H71" s="35"/>
      <c r="I71" s="35"/>
      <c r="J71" s="35"/>
    </row>
    <row r="72" spans="1:10">
      <c r="A72" s="35"/>
      <c r="B72" s="35"/>
      <c r="C72" s="35"/>
      <c r="D72" s="35"/>
      <c r="E72" s="35"/>
      <c r="F72" s="35"/>
      <c r="G72" s="35"/>
      <c r="H72" s="35"/>
      <c r="I72" s="35"/>
      <c r="J72" s="35"/>
    </row>
    <row r="73" spans="1:10">
      <c r="A73" s="35"/>
      <c r="B73" s="35"/>
      <c r="C73" s="35"/>
      <c r="D73" s="35"/>
      <c r="E73" s="35"/>
      <c r="F73" s="35"/>
      <c r="G73" s="35"/>
      <c r="H73" s="35"/>
      <c r="I73" s="35"/>
      <c r="J73" s="35"/>
    </row>
    <row r="74" spans="1:10">
      <c r="A74" s="35"/>
      <c r="B74" s="35"/>
      <c r="C74" s="35"/>
      <c r="D74" s="35"/>
      <c r="E74" s="35"/>
      <c r="F74" s="35"/>
      <c r="G74" s="35"/>
      <c r="H74" s="35"/>
      <c r="I74" s="35"/>
      <c r="J74" s="35"/>
    </row>
    <row r="75" spans="1:10">
      <c r="A75" s="35"/>
      <c r="B75" s="35"/>
      <c r="C75" s="35"/>
      <c r="D75" s="35"/>
      <c r="E75" s="35"/>
      <c r="F75" s="35"/>
      <c r="G75" s="35"/>
      <c r="H75" s="35"/>
      <c r="I75" s="35"/>
      <c r="J75" s="35"/>
    </row>
    <row r="76" spans="1:10">
      <c r="A76" s="35"/>
      <c r="B76" s="35"/>
      <c r="C76" s="35"/>
      <c r="D76" s="35"/>
      <c r="E76" s="35"/>
      <c r="F76" s="35"/>
      <c r="G76" s="35"/>
      <c r="H76" s="35"/>
      <c r="I76" s="35"/>
      <c r="J76" s="35"/>
    </row>
    <row r="77" spans="1:10">
      <c r="A77" s="35"/>
      <c r="B77" s="35"/>
      <c r="C77" s="35"/>
      <c r="D77" s="35"/>
      <c r="E77" s="35"/>
      <c r="F77" s="35"/>
      <c r="G77" s="35"/>
      <c r="H77" s="35"/>
      <c r="I77" s="35"/>
      <c r="J77" s="35"/>
    </row>
    <row r="78" spans="1:10">
      <c r="A78" s="35"/>
      <c r="B78" s="35"/>
      <c r="C78" s="35"/>
      <c r="D78" s="35"/>
      <c r="E78" s="35"/>
      <c r="F78" s="35"/>
      <c r="G78" s="35"/>
      <c r="H78" s="35"/>
      <c r="I78" s="35"/>
      <c r="J78" s="35"/>
    </row>
    <row r="79" spans="1:10">
      <c r="A79" s="35"/>
      <c r="B79" s="35"/>
      <c r="C79" s="35"/>
      <c r="D79" s="35"/>
      <c r="E79" s="35"/>
      <c r="F79" s="35"/>
      <c r="G79" s="35"/>
      <c r="H79" s="35"/>
      <c r="I79" s="35"/>
      <c r="J79" s="35"/>
    </row>
    <row r="80" spans="1:10">
      <c r="A80" s="35"/>
      <c r="B80" s="35"/>
      <c r="C80" s="35"/>
      <c r="D80" s="35"/>
      <c r="E80" s="35"/>
      <c r="F80" s="35"/>
      <c r="G80" s="35"/>
      <c r="H80" s="35"/>
      <c r="I80" s="35"/>
      <c r="J80" s="35"/>
    </row>
    <row r="81" spans="1:10">
      <c r="A81" s="35"/>
      <c r="B81" s="35"/>
      <c r="C81" s="35"/>
      <c r="D81" s="35"/>
      <c r="E81" s="35"/>
      <c r="F81" s="35"/>
      <c r="G81" s="35"/>
      <c r="H81" s="35"/>
      <c r="I81" s="35"/>
      <c r="J81" s="35"/>
    </row>
    <row r="82" spans="1:10">
      <c r="A82" s="35"/>
      <c r="B82" s="35"/>
      <c r="C82" s="35"/>
      <c r="D82" s="35"/>
      <c r="E82" s="35"/>
      <c r="F82" s="35"/>
      <c r="G82" s="35"/>
      <c r="H82" s="35"/>
      <c r="I82" s="35"/>
      <c r="J82" s="35"/>
    </row>
    <row r="83" spans="1:10">
      <c r="A83" s="35"/>
      <c r="B83" s="35"/>
      <c r="C83" s="35"/>
      <c r="D83" s="35"/>
      <c r="E83" s="35"/>
      <c r="F83" s="35"/>
      <c r="G83" s="35"/>
      <c r="H83" s="35"/>
      <c r="I83" s="35"/>
      <c r="J83" s="35"/>
    </row>
    <row r="84" spans="1:10">
      <c r="A84" s="35"/>
      <c r="B84" s="35"/>
      <c r="C84" s="35"/>
      <c r="D84" s="35"/>
      <c r="E84" s="35"/>
      <c r="F84" s="35"/>
      <c r="G84" s="35"/>
      <c r="H84" s="35"/>
      <c r="I84" s="35"/>
      <c r="J84" s="35"/>
    </row>
    <row r="85" spans="1:10">
      <c r="A85" s="35"/>
      <c r="B85" s="35"/>
      <c r="C85" s="35"/>
      <c r="D85" s="35"/>
      <c r="E85" s="35"/>
      <c r="F85" s="35"/>
      <c r="G85" s="35"/>
      <c r="H85" s="35"/>
      <c r="I85" s="35"/>
      <c r="J85" s="35"/>
    </row>
    <row r="86" spans="1:10">
      <c r="A86" s="35"/>
      <c r="B86" s="35"/>
      <c r="C86" s="35"/>
      <c r="D86" s="35"/>
      <c r="E86" s="35"/>
      <c r="F86" s="35"/>
      <c r="G86" s="35"/>
      <c r="H86" s="35"/>
      <c r="I86" s="35"/>
      <c r="J86" s="35"/>
    </row>
    <row r="87" spans="1:10">
      <c r="A87" s="35"/>
      <c r="B87" s="35"/>
      <c r="C87" s="35"/>
      <c r="D87" s="35"/>
      <c r="E87" s="35"/>
      <c r="F87" s="35"/>
      <c r="G87" s="35"/>
      <c r="H87" s="35"/>
      <c r="I87" s="35"/>
      <c r="J87" s="35"/>
    </row>
    <row r="88" spans="1:10">
      <c r="A88" s="35"/>
      <c r="B88" s="35"/>
      <c r="C88" s="35"/>
      <c r="D88" s="35"/>
      <c r="E88" s="35"/>
      <c r="F88" s="35"/>
      <c r="G88" s="35"/>
      <c r="H88" s="35"/>
      <c r="I88" s="35"/>
      <c r="J88" s="35"/>
    </row>
    <row r="89" spans="1:10">
      <c r="A89" s="35"/>
      <c r="B89" s="35"/>
      <c r="C89" s="35"/>
      <c r="D89" s="35"/>
      <c r="E89" s="35"/>
      <c r="F89" s="35"/>
      <c r="G89" s="35"/>
      <c r="H89" s="35"/>
      <c r="I89" s="35"/>
      <c r="J89" s="35"/>
    </row>
    <row r="90" spans="1:10">
      <c r="A90" s="35"/>
      <c r="B90" s="35"/>
      <c r="C90" s="35"/>
      <c r="D90" s="35"/>
      <c r="E90" s="35"/>
      <c r="F90" s="35"/>
      <c r="G90" s="35"/>
      <c r="H90" s="35"/>
      <c r="I90" s="35"/>
      <c r="J90" s="35"/>
    </row>
    <row r="91" spans="1:10">
      <c r="A91" s="35"/>
      <c r="B91" s="35"/>
      <c r="C91" s="35"/>
      <c r="D91" s="35"/>
      <c r="E91" s="35"/>
      <c r="F91" s="35"/>
      <c r="G91" s="35"/>
      <c r="H91" s="35"/>
      <c r="I91" s="35"/>
      <c r="J91" s="35"/>
    </row>
    <row r="92" spans="1:10">
      <c r="A92" s="35"/>
      <c r="B92" s="35"/>
      <c r="C92" s="35"/>
      <c r="D92" s="35"/>
      <c r="E92" s="35"/>
      <c r="F92" s="35"/>
      <c r="G92" s="35"/>
      <c r="H92" s="35"/>
      <c r="I92" s="35"/>
      <c r="J92" s="35"/>
    </row>
    <row r="93" spans="1:10">
      <c r="A93" s="35"/>
      <c r="B93" s="35"/>
      <c r="C93" s="35"/>
      <c r="D93" s="35"/>
      <c r="E93" s="35"/>
      <c r="F93" s="35"/>
      <c r="G93" s="35"/>
      <c r="H93" s="35"/>
      <c r="I93" s="35"/>
      <c r="J93" s="35"/>
    </row>
    <row r="94" spans="1:10">
      <c r="A94" s="35"/>
      <c r="B94" s="35"/>
      <c r="C94" s="35"/>
      <c r="D94" s="35"/>
      <c r="E94" s="35"/>
      <c r="F94" s="35"/>
      <c r="G94" s="35"/>
      <c r="H94" s="35"/>
      <c r="I94" s="35"/>
      <c r="J94" s="35"/>
    </row>
    <row r="95" spans="1:10">
      <c r="A95" s="35"/>
      <c r="B95" s="35"/>
      <c r="C95" s="35"/>
      <c r="D95" s="35"/>
      <c r="E95" s="35"/>
      <c r="F95" s="35"/>
      <c r="G95" s="35"/>
      <c r="H95" s="35"/>
      <c r="I95" s="35"/>
      <c r="J95" s="35"/>
    </row>
    <row r="96" spans="1:10">
      <c r="A96" s="35"/>
      <c r="B96" s="35"/>
      <c r="C96" s="35"/>
      <c r="D96" s="35"/>
      <c r="E96" s="35"/>
      <c r="F96" s="35"/>
      <c r="G96" s="35"/>
      <c r="H96" s="35"/>
      <c r="I96" s="35"/>
      <c r="J96" s="35"/>
    </row>
    <row r="97" spans="1:10">
      <c r="A97" s="35"/>
      <c r="B97" s="35"/>
      <c r="C97" s="35"/>
      <c r="D97" s="35"/>
      <c r="E97" s="35"/>
      <c r="F97" s="35"/>
      <c r="G97" s="35"/>
      <c r="H97" s="35"/>
      <c r="I97" s="35"/>
      <c r="J97" s="35"/>
    </row>
    <row r="98" spans="1:10">
      <c r="A98" s="35"/>
      <c r="B98" s="35"/>
      <c r="C98" s="35"/>
      <c r="D98" s="35"/>
      <c r="E98" s="35"/>
      <c r="F98" s="35"/>
      <c r="G98" s="35"/>
      <c r="H98" s="35"/>
      <c r="I98" s="35"/>
      <c r="J98" s="35"/>
    </row>
    <row r="99" spans="1:10">
      <c r="A99" s="35"/>
      <c r="B99" s="35"/>
      <c r="C99" s="35"/>
      <c r="D99" s="35"/>
      <c r="E99" s="35"/>
      <c r="F99" s="35"/>
      <c r="G99" s="35"/>
      <c r="H99" s="35"/>
      <c r="I99" s="35"/>
      <c r="J99" s="35"/>
    </row>
  </sheetData>
  <sheetProtection password="B6E0" sheet="1" objects="1" scenarios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3"/>
  <dimension ref="A1:J99"/>
  <sheetViews>
    <sheetView workbookViewId="0">
      <selection activeCell="C2" sqref="C2:E2"/>
    </sheetView>
  </sheetViews>
  <sheetFormatPr baseColWidth="10" defaultRowHeight="15"/>
  <cols>
    <col min="1" max="1" width="90.5703125" customWidth="1"/>
  </cols>
  <sheetData>
    <row r="1" spans="1:10" ht="15.75" thickBot="1">
      <c r="A1" s="35" t="s">
        <v>0</v>
      </c>
      <c r="B1" s="35"/>
      <c r="C1" s="35"/>
      <c r="D1" s="35"/>
      <c r="E1" s="35"/>
      <c r="F1" s="35"/>
      <c r="G1" s="35"/>
      <c r="H1" s="35"/>
      <c r="I1" s="35"/>
      <c r="J1" s="35"/>
    </row>
    <row r="2" spans="1:10" ht="15.75" thickBot="1">
      <c r="A2" s="35" t="s">
        <v>124</v>
      </c>
      <c r="B2" s="35"/>
      <c r="C2" s="62" t="s">
        <v>125</v>
      </c>
      <c r="D2" s="63"/>
      <c r="E2" s="64"/>
      <c r="F2" s="35"/>
      <c r="G2" s="35"/>
      <c r="H2" s="35"/>
      <c r="I2" s="35"/>
      <c r="J2" s="35"/>
    </row>
    <row r="3" spans="1:10" ht="15.75" thickBot="1">
      <c r="A3" s="35" t="s">
        <v>0</v>
      </c>
      <c r="B3" s="35"/>
      <c r="C3" s="36" t="s">
        <v>126</v>
      </c>
      <c r="D3" s="65" t="s">
        <v>127</v>
      </c>
      <c r="E3" s="66"/>
      <c r="F3" s="35"/>
      <c r="G3" s="35"/>
      <c r="H3" s="35"/>
      <c r="I3" s="35"/>
      <c r="J3" s="35"/>
    </row>
    <row r="4" spans="1:10">
      <c r="A4" s="35"/>
      <c r="B4" s="35"/>
      <c r="C4" s="37" t="s">
        <v>128</v>
      </c>
      <c r="D4" s="67" t="s">
        <v>130</v>
      </c>
      <c r="E4" s="68"/>
      <c r="F4" s="35"/>
      <c r="G4" s="35"/>
      <c r="H4" s="35"/>
      <c r="I4" s="35"/>
      <c r="J4" s="35"/>
    </row>
    <row r="5" spans="1:10" ht="15.75" thickBot="1">
      <c r="A5" s="35" t="s">
        <v>25</v>
      </c>
      <c r="B5" s="35"/>
      <c r="C5" s="38" t="s">
        <v>129</v>
      </c>
      <c r="D5" s="69" t="s">
        <v>141</v>
      </c>
      <c r="E5" s="70"/>
      <c r="F5" s="35"/>
      <c r="G5" s="35"/>
      <c r="H5" s="35"/>
      <c r="I5" s="35"/>
      <c r="J5" s="35"/>
    </row>
    <row r="6" spans="1:10">
      <c r="A6" s="35" t="s">
        <v>26</v>
      </c>
      <c r="B6" s="35"/>
      <c r="C6" s="35"/>
      <c r="D6" s="35"/>
      <c r="E6" s="35"/>
      <c r="F6" s="35"/>
      <c r="G6" s="35"/>
      <c r="H6" s="35"/>
      <c r="I6" s="35"/>
      <c r="J6" s="35"/>
    </row>
    <row r="7" spans="1:10">
      <c r="A7" s="35" t="s">
        <v>27</v>
      </c>
      <c r="B7" s="35"/>
      <c r="C7" s="35"/>
      <c r="D7" s="35"/>
      <c r="E7" s="35"/>
      <c r="F7" s="35"/>
      <c r="G7" s="35"/>
      <c r="H7" s="35"/>
      <c r="I7" s="35"/>
      <c r="J7" s="35"/>
    </row>
    <row r="8" spans="1:10">
      <c r="A8" s="35"/>
      <c r="B8" s="35"/>
      <c r="C8" s="35"/>
      <c r="D8" s="35"/>
      <c r="E8" s="35"/>
      <c r="F8" s="35"/>
      <c r="G8" s="35"/>
      <c r="H8" s="35"/>
      <c r="I8" s="35"/>
      <c r="J8" s="35"/>
    </row>
    <row r="9" spans="1:10">
      <c r="A9" s="35" t="s">
        <v>28</v>
      </c>
      <c r="B9" s="35"/>
      <c r="C9" s="35"/>
      <c r="D9" s="35"/>
      <c r="E9" s="35"/>
      <c r="F9" s="35"/>
      <c r="G9" s="35"/>
      <c r="H9" s="35"/>
      <c r="I9" s="35"/>
      <c r="J9" s="35"/>
    </row>
    <row r="10" spans="1:10">
      <c r="A10" s="35" t="s">
        <v>29</v>
      </c>
      <c r="B10" s="35"/>
      <c r="C10" s="35"/>
      <c r="D10" s="35"/>
      <c r="E10" s="35"/>
      <c r="F10" s="35"/>
      <c r="G10" s="35"/>
      <c r="H10" s="35"/>
      <c r="I10" s="35"/>
      <c r="J10" s="35"/>
    </row>
    <row r="11" spans="1:10">
      <c r="A11" s="35" t="s">
        <v>30</v>
      </c>
      <c r="B11" s="35"/>
      <c r="C11" s="35"/>
      <c r="D11" s="35"/>
      <c r="E11" s="35"/>
      <c r="F11" s="35"/>
      <c r="G11" s="35"/>
      <c r="H11" s="35"/>
      <c r="I11" s="35"/>
      <c r="J11" s="35"/>
    </row>
    <row r="12" spans="1:10">
      <c r="A12" s="35" t="s">
        <v>31</v>
      </c>
      <c r="B12" s="35"/>
      <c r="C12" s="35"/>
      <c r="D12" s="35"/>
      <c r="E12" s="35"/>
      <c r="F12" s="35"/>
      <c r="G12" s="35"/>
      <c r="H12" s="35"/>
      <c r="I12" s="35"/>
      <c r="J12" s="35"/>
    </row>
    <row r="13" spans="1:10">
      <c r="A13" s="35" t="s">
        <v>32</v>
      </c>
      <c r="B13" s="35"/>
      <c r="C13" s="35"/>
      <c r="D13" s="35"/>
      <c r="E13" s="35"/>
      <c r="F13" s="35"/>
      <c r="G13" s="35"/>
      <c r="H13" s="35"/>
      <c r="I13" s="35"/>
      <c r="J13" s="35"/>
    </row>
    <row r="14" spans="1:10">
      <c r="A14" s="35" t="s">
        <v>33</v>
      </c>
      <c r="B14" s="35"/>
      <c r="C14" s="35"/>
      <c r="D14" s="35"/>
      <c r="E14" s="35"/>
      <c r="F14" s="35"/>
      <c r="G14" s="35"/>
      <c r="H14" s="35"/>
      <c r="I14" s="35"/>
      <c r="J14" s="35"/>
    </row>
    <row r="15" spans="1:10">
      <c r="A15" s="35" t="s">
        <v>34</v>
      </c>
      <c r="B15" s="35"/>
      <c r="C15" s="35"/>
      <c r="D15" s="35"/>
      <c r="E15" s="35"/>
      <c r="F15" s="35"/>
      <c r="G15" s="35"/>
      <c r="H15" s="35"/>
      <c r="I15" s="35"/>
      <c r="J15" s="35"/>
    </row>
    <row r="16" spans="1:10">
      <c r="A16" s="35" t="s">
        <v>35</v>
      </c>
      <c r="B16" s="35"/>
      <c r="C16" s="35"/>
      <c r="D16" s="35"/>
      <c r="E16" s="35"/>
      <c r="F16" s="35"/>
      <c r="G16" s="35"/>
      <c r="H16" s="35"/>
      <c r="I16" s="35"/>
      <c r="J16" s="35"/>
    </row>
    <row r="17" spans="1:10">
      <c r="A17" s="35" t="s">
        <v>36</v>
      </c>
      <c r="B17" s="35"/>
      <c r="C17" s="35"/>
      <c r="D17" s="35"/>
      <c r="E17" s="35"/>
      <c r="F17" s="35"/>
      <c r="G17" s="35"/>
      <c r="H17" s="35"/>
      <c r="I17" s="35"/>
      <c r="J17" s="35"/>
    </row>
    <row r="18" spans="1:10">
      <c r="A18" s="35" t="s">
        <v>37</v>
      </c>
      <c r="B18" s="35"/>
      <c r="C18" s="35"/>
      <c r="D18" s="35"/>
      <c r="E18" s="35"/>
      <c r="F18" s="35"/>
      <c r="G18" s="35"/>
      <c r="H18" s="35"/>
      <c r="I18" s="35"/>
      <c r="J18" s="35"/>
    </row>
    <row r="19" spans="1:10">
      <c r="A19" s="35"/>
      <c r="B19" s="35"/>
      <c r="C19" s="35"/>
      <c r="D19" s="35"/>
      <c r="E19" s="35"/>
      <c r="F19" s="35"/>
      <c r="G19" s="35"/>
      <c r="H19" s="35"/>
      <c r="I19" s="35"/>
      <c r="J19" s="35"/>
    </row>
    <row r="20" spans="1:10">
      <c r="A20" s="10" t="s">
        <v>38</v>
      </c>
      <c r="B20" s="35"/>
      <c r="C20" s="35"/>
      <c r="D20" s="35"/>
      <c r="E20" s="35"/>
      <c r="F20" s="35"/>
      <c r="G20" s="35"/>
      <c r="H20" s="35"/>
      <c r="I20" s="35"/>
      <c r="J20" s="35"/>
    </row>
    <row r="21" spans="1:10">
      <c r="A21" s="10" t="str">
        <f>CONCATENATE("! DELETE ",D4," DIRECTORY BASED")</f>
        <v>! DELETE FBxxxxxx DIRECTORY BASED</v>
      </c>
      <c r="B21" s="35"/>
      <c r="C21" s="35"/>
      <c r="D21" s="35"/>
      <c r="E21" s="35"/>
      <c r="F21" s="35"/>
      <c r="G21" s="35"/>
      <c r="H21" s="35"/>
      <c r="I21" s="35"/>
      <c r="J21" s="35"/>
    </row>
    <row r="22" spans="1:10">
      <c r="A22" s="10" t="str">
        <f>CONCATENATE("ZWQD:NAME=",D4,":DIRE,PRINTS;")</f>
        <v>ZWQD:NAME=FBxxxxxx:DIRE,PRINTS;</v>
      </c>
      <c r="B22" s="35"/>
      <c r="C22" s="35"/>
      <c r="D22" s="35"/>
      <c r="E22" s="10"/>
      <c r="F22" s="35"/>
      <c r="G22" s="35"/>
      <c r="H22" s="35"/>
      <c r="I22" s="35"/>
      <c r="J22" s="35"/>
    </row>
    <row r="23" spans="1:10">
      <c r="A23" s="10"/>
      <c r="B23" s="35"/>
      <c r="C23" s="35"/>
      <c r="D23" s="35"/>
      <c r="E23" s="10"/>
      <c r="F23" s="35"/>
      <c r="G23" s="35"/>
      <c r="H23" s="35"/>
      <c r="I23" s="35"/>
      <c r="J23" s="35"/>
    </row>
    <row r="24" spans="1:10">
      <c r="A24" s="35" t="s">
        <v>39</v>
      </c>
      <c r="B24" s="35"/>
      <c r="C24" s="35"/>
      <c r="D24" s="35"/>
      <c r="E24" s="10"/>
      <c r="F24" s="35"/>
      <c r="G24" s="35"/>
      <c r="H24" s="35"/>
      <c r="I24" s="35"/>
      <c r="J24" s="35"/>
    </row>
    <row r="25" spans="1:10">
      <c r="A25" s="35" t="str">
        <f>CONCATENATE("ZWKS:MODE=FULL,NAME=",D5,",DIRE=",D5,"::;")</f>
        <v>ZWKS:MODE=FULL,NAME=FB100910,DIRE=FB100910::;</v>
      </c>
      <c r="B25" s="35"/>
      <c r="C25" s="35"/>
      <c r="D25" s="35"/>
      <c r="E25" s="10"/>
      <c r="F25" s="35"/>
      <c r="G25" s="35"/>
      <c r="H25" s="35"/>
      <c r="I25" s="35"/>
      <c r="J25" s="35"/>
    </row>
    <row r="26" spans="1:10">
      <c r="A26" s="35" t="s">
        <v>40</v>
      </c>
      <c r="B26" s="35"/>
      <c r="C26" s="35"/>
      <c r="D26" s="35"/>
      <c r="E26" s="10"/>
      <c r="F26" s="35"/>
      <c r="G26" s="35"/>
      <c r="H26" s="35"/>
      <c r="I26" s="35"/>
      <c r="J26" s="35"/>
    </row>
    <row r="27" spans="1:10">
      <c r="A27" s="35"/>
      <c r="B27" s="35"/>
      <c r="C27" s="35"/>
      <c r="D27" s="35"/>
      <c r="E27" s="10"/>
      <c r="F27" s="35"/>
      <c r="G27" s="35"/>
      <c r="H27" s="35"/>
      <c r="I27" s="35"/>
      <c r="J27" s="35"/>
    </row>
    <row r="28" spans="1:10">
      <c r="A28" s="35" t="s">
        <v>120</v>
      </c>
      <c r="B28" s="35"/>
      <c r="C28" s="35"/>
      <c r="D28" s="35"/>
      <c r="E28" s="10"/>
      <c r="F28" s="35"/>
      <c r="G28" s="35"/>
      <c r="H28" s="35"/>
      <c r="I28" s="35"/>
      <c r="J28" s="35"/>
    </row>
    <row r="29" spans="1:10">
      <c r="A29" s="35" t="s">
        <v>4</v>
      </c>
      <c r="B29" s="35"/>
      <c r="C29" s="35"/>
      <c r="D29" s="35"/>
      <c r="E29" s="35"/>
      <c r="F29" s="35"/>
      <c r="G29" s="35"/>
      <c r="H29" s="35"/>
      <c r="I29" s="35"/>
      <c r="J29" s="35"/>
    </row>
    <row r="30" spans="1:10">
      <c r="A30" s="35"/>
      <c r="B30" s="35"/>
      <c r="C30" s="35"/>
      <c r="D30" s="35"/>
      <c r="E30" s="35"/>
      <c r="F30" s="35"/>
      <c r="G30" s="35"/>
      <c r="H30" s="35"/>
      <c r="I30" s="35"/>
      <c r="J30" s="35"/>
    </row>
    <row r="31" spans="1:10">
      <c r="A31" s="35" t="s">
        <v>121</v>
      </c>
      <c r="B31" s="35"/>
      <c r="C31" s="35"/>
      <c r="D31" s="35"/>
      <c r="E31" s="35"/>
      <c r="F31" s="35"/>
      <c r="G31" s="35"/>
      <c r="H31" s="35"/>
      <c r="I31" s="35"/>
      <c r="J31" s="35"/>
    </row>
    <row r="32" spans="1:10">
      <c r="A32" s="35"/>
      <c r="B32" s="35"/>
      <c r="C32" s="35"/>
      <c r="D32" s="35"/>
      <c r="E32" s="35"/>
      <c r="F32" s="35"/>
      <c r="G32" s="35"/>
      <c r="H32" s="35"/>
      <c r="I32" s="35"/>
      <c r="J32" s="35"/>
    </row>
    <row r="33" spans="1:10">
      <c r="A33" s="35" t="s">
        <v>122</v>
      </c>
      <c r="B33" s="35"/>
      <c r="C33" s="35"/>
      <c r="D33" s="35"/>
      <c r="E33" s="35"/>
      <c r="F33" s="35"/>
      <c r="G33" s="35"/>
      <c r="H33" s="35"/>
      <c r="I33" s="35"/>
      <c r="J33" s="35"/>
    </row>
    <row r="34" spans="1:10">
      <c r="A34" s="35" t="s">
        <v>123</v>
      </c>
      <c r="B34" s="35"/>
      <c r="C34" s="35"/>
      <c r="D34" s="35"/>
      <c r="E34" s="35"/>
      <c r="F34" s="35"/>
      <c r="G34" s="35"/>
      <c r="H34" s="35"/>
      <c r="I34" s="35"/>
      <c r="J34" s="35"/>
    </row>
    <row r="35" spans="1:10">
      <c r="A35" s="35"/>
      <c r="B35" s="35"/>
      <c r="C35" s="35"/>
      <c r="D35" s="35"/>
      <c r="E35" s="35"/>
      <c r="F35" s="35"/>
      <c r="G35" s="35"/>
      <c r="H35" s="35"/>
      <c r="I35" s="35"/>
      <c r="J35" s="35"/>
    </row>
    <row r="36" spans="1:10">
      <c r="A36" s="35"/>
      <c r="B36" s="35"/>
      <c r="C36" s="35"/>
      <c r="D36" s="35"/>
      <c r="E36" s="35"/>
      <c r="F36" s="35"/>
      <c r="G36" s="35"/>
      <c r="H36" s="35"/>
      <c r="I36" s="35"/>
      <c r="J36" s="35"/>
    </row>
    <row r="37" spans="1:10">
      <c r="A37" s="35"/>
      <c r="B37" s="35"/>
      <c r="C37" s="35"/>
      <c r="D37" s="35"/>
      <c r="E37" s="35"/>
      <c r="F37" s="35"/>
      <c r="G37" s="35"/>
      <c r="H37" s="35"/>
      <c r="I37" s="35"/>
      <c r="J37" s="35"/>
    </row>
    <row r="38" spans="1:10">
      <c r="A38" s="35"/>
      <c r="B38" s="35"/>
      <c r="C38" s="35"/>
      <c r="D38" s="35"/>
      <c r="E38" s="35"/>
      <c r="F38" s="35"/>
      <c r="G38" s="35"/>
      <c r="H38" s="35"/>
      <c r="I38" s="35"/>
      <c r="J38" s="35"/>
    </row>
    <row r="39" spans="1:10">
      <c r="A39" s="35"/>
      <c r="B39" s="35"/>
      <c r="C39" s="35"/>
      <c r="D39" s="35"/>
      <c r="E39" s="35"/>
      <c r="F39" s="35"/>
      <c r="G39" s="35"/>
      <c r="H39" s="35"/>
      <c r="I39" s="35"/>
      <c r="J39" s="35"/>
    </row>
    <row r="40" spans="1:10">
      <c r="A40" s="35"/>
      <c r="B40" s="35"/>
      <c r="C40" s="35"/>
      <c r="D40" s="35"/>
      <c r="E40" s="35"/>
      <c r="F40" s="35"/>
      <c r="G40" s="35"/>
      <c r="H40" s="35"/>
      <c r="I40" s="35"/>
      <c r="J40" s="35"/>
    </row>
    <row r="41" spans="1:10">
      <c r="A41" s="35"/>
      <c r="B41" s="35"/>
      <c r="C41" s="35"/>
      <c r="D41" s="35"/>
      <c r="E41" s="35"/>
      <c r="F41" s="35"/>
      <c r="G41" s="35"/>
      <c r="H41" s="35"/>
      <c r="I41" s="35"/>
      <c r="J41" s="35"/>
    </row>
    <row r="42" spans="1:10">
      <c r="A42" s="35"/>
      <c r="B42" s="35"/>
      <c r="C42" s="35"/>
      <c r="D42" s="35"/>
      <c r="E42" s="35"/>
      <c r="F42" s="35"/>
      <c r="G42" s="35"/>
      <c r="H42" s="35"/>
      <c r="I42" s="35"/>
      <c r="J42" s="35"/>
    </row>
    <row r="43" spans="1:10">
      <c r="A43" s="35"/>
      <c r="B43" s="35"/>
      <c r="C43" s="35"/>
      <c r="D43" s="35"/>
      <c r="E43" s="35"/>
      <c r="F43" s="35"/>
      <c r="G43" s="35"/>
      <c r="H43" s="35"/>
      <c r="I43" s="35"/>
      <c r="J43" s="35"/>
    </row>
    <row r="44" spans="1:10">
      <c r="A44" s="35"/>
      <c r="B44" s="35"/>
      <c r="C44" s="35"/>
      <c r="D44" s="35"/>
      <c r="E44" s="35"/>
      <c r="F44" s="35"/>
      <c r="G44" s="35"/>
      <c r="H44" s="35"/>
      <c r="I44" s="35"/>
      <c r="J44" s="35"/>
    </row>
    <row r="45" spans="1:10">
      <c r="A45" s="35"/>
      <c r="B45" s="35"/>
      <c r="C45" s="35"/>
      <c r="D45" s="35"/>
      <c r="E45" s="35"/>
      <c r="F45" s="35"/>
      <c r="G45" s="35"/>
      <c r="H45" s="35"/>
      <c r="I45" s="35"/>
      <c r="J45" s="35"/>
    </row>
    <row r="46" spans="1:10">
      <c r="A46" s="35"/>
      <c r="B46" s="35"/>
      <c r="C46" s="35"/>
      <c r="D46" s="35"/>
      <c r="E46" s="35"/>
      <c r="F46" s="35"/>
      <c r="G46" s="35"/>
      <c r="H46" s="35"/>
      <c r="I46" s="35"/>
      <c r="J46" s="35"/>
    </row>
    <row r="47" spans="1:10">
      <c r="A47" s="35"/>
      <c r="B47" s="35"/>
      <c r="C47" s="35"/>
      <c r="D47" s="35"/>
      <c r="E47" s="35"/>
      <c r="F47" s="35"/>
      <c r="G47" s="35"/>
      <c r="H47" s="35"/>
      <c r="I47" s="35"/>
      <c r="J47" s="35"/>
    </row>
    <row r="48" spans="1:10">
      <c r="A48" s="35"/>
      <c r="B48" s="35"/>
      <c r="C48" s="35"/>
      <c r="D48" s="35"/>
      <c r="E48" s="35"/>
      <c r="F48" s="35"/>
      <c r="G48" s="35"/>
      <c r="H48" s="35"/>
      <c r="I48" s="35"/>
      <c r="J48" s="35"/>
    </row>
    <row r="49" spans="1:10">
      <c r="A49" s="35"/>
      <c r="B49" s="35"/>
      <c r="C49" s="35"/>
      <c r="D49" s="35"/>
      <c r="E49" s="35"/>
      <c r="F49" s="35"/>
      <c r="G49" s="35"/>
      <c r="H49" s="35"/>
      <c r="I49" s="35"/>
      <c r="J49" s="35"/>
    </row>
    <row r="50" spans="1:10">
      <c r="A50" s="35"/>
      <c r="B50" s="35"/>
      <c r="C50" s="35"/>
      <c r="D50" s="35"/>
      <c r="E50" s="35"/>
      <c r="F50" s="35"/>
      <c r="G50" s="35"/>
      <c r="H50" s="35"/>
      <c r="I50" s="35"/>
      <c r="J50" s="35"/>
    </row>
    <row r="51" spans="1:10">
      <c r="A51" s="35"/>
      <c r="B51" s="35"/>
      <c r="C51" s="35"/>
      <c r="D51" s="35"/>
      <c r="E51" s="35"/>
      <c r="F51" s="35"/>
      <c r="G51" s="35"/>
      <c r="H51" s="35"/>
      <c r="I51" s="35"/>
      <c r="J51" s="35"/>
    </row>
    <row r="52" spans="1:10">
      <c r="A52" s="35"/>
      <c r="B52" s="35"/>
      <c r="C52" s="35"/>
      <c r="D52" s="35"/>
      <c r="E52" s="35"/>
      <c r="F52" s="35"/>
      <c r="G52" s="35"/>
      <c r="H52" s="35"/>
      <c r="I52" s="35"/>
      <c r="J52" s="35"/>
    </row>
    <row r="53" spans="1:10">
      <c r="A53" s="35"/>
      <c r="B53" s="35"/>
      <c r="C53" s="35"/>
      <c r="D53" s="35"/>
      <c r="E53" s="35"/>
      <c r="F53" s="35"/>
      <c r="G53" s="35"/>
      <c r="H53" s="35"/>
      <c r="I53" s="35"/>
      <c r="J53" s="35"/>
    </row>
    <row r="54" spans="1:10">
      <c r="A54" s="35"/>
      <c r="B54" s="35"/>
      <c r="C54" s="35"/>
      <c r="D54" s="35"/>
      <c r="E54" s="35"/>
      <c r="F54" s="35"/>
      <c r="G54" s="35"/>
      <c r="H54" s="35"/>
      <c r="I54" s="35"/>
      <c r="J54" s="35"/>
    </row>
    <row r="55" spans="1:10">
      <c r="A55" s="35"/>
      <c r="B55" s="35"/>
      <c r="C55" s="35"/>
      <c r="D55" s="35"/>
      <c r="E55" s="35"/>
      <c r="F55" s="35"/>
      <c r="G55" s="35"/>
      <c r="H55" s="35"/>
      <c r="I55" s="35"/>
      <c r="J55" s="35"/>
    </row>
    <row r="56" spans="1:10">
      <c r="A56" s="35"/>
      <c r="B56" s="35"/>
      <c r="C56" s="35"/>
      <c r="D56" s="35"/>
      <c r="E56" s="35"/>
      <c r="F56" s="35"/>
      <c r="G56" s="35"/>
      <c r="H56" s="35"/>
      <c r="I56" s="35"/>
      <c r="J56" s="35"/>
    </row>
    <row r="57" spans="1:10">
      <c r="A57" s="35"/>
      <c r="B57" s="35"/>
      <c r="C57" s="35"/>
      <c r="D57" s="35"/>
      <c r="E57" s="35"/>
      <c r="F57" s="35"/>
      <c r="G57" s="35"/>
      <c r="H57" s="35"/>
      <c r="I57" s="35"/>
      <c r="J57" s="35"/>
    </row>
    <row r="58" spans="1:10">
      <c r="A58" s="35"/>
      <c r="B58" s="35"/>
      <c r="C58" s="35"/>
      <c r="D58" s="35"/>
      <c r="E58" s="35"/>
      <c r="F58" s="35"/>
      <c r="G58" s="35"/>
      <c r="H58" s="35"/>
      <c r="I58" s="35"/>
      <c r="J58" s="35"/>
    </row>
    <row r="59" spans="1:10">
      <c r="A59" s="35"/>
      <c r="B59" s="35"/>
      <c r="C59" s="35"/>
      <c r="D59" s="35"/>
      <c r="E59" s="35"/>
      <c r="F59" s="35"/>
      <c r="G59" s="35"/>
      <c r="H59" s="35"/>
      <c r="I59" s="35"/>
      <c r="J59" s="35"/>
    </row>
    <row r="60" spans="1:10">
      <c r="A60" s="35"/>
      <c r="B60" s="35"/>
      <c r="C60" s="35"/>
      <c r="D60" s="35"/>
      <c r="E60" s="35"/>
      <c r="F60" s="35"/>
      <c r="G60" s="35"/>
      <c r="H60" s="35"/>
      <c r="I60" s="35"/>
      <c r="J60" s="35"/>
    </row>
    <row r="61" spans="1:10">
      <c r="A61" s="35"/>
      <c r="B61" s="35"/>
      <c r="C61" s="35"/>
      <c r="D61" s="35"/>
      <c r="E61" s="35"/>
      <c r="F61" s="35"/>
      <c r="G61" s="35"/>
      <c r="H61" s="35"/>
      <c r="I61" s="35"/>
      <c r="J61" s="35"/>
    </row>
    <row r="62" spans="1:10">
      <c r="A62" s="35"/>
      <c r="B62" s="35"/>
      <c r="C62" s="35"/>
      <c r="D62" s="35"/>
      <c r="E62" s="35"/>
      <c r="F62" s="35"/>
      <c r="G62" s="35"/>
      <c r="H62" s="35"/>
      <c r="I62" s="35"/>
      <c r="J62" s="35"/>
    </row>
    <row r="63" spans="1:10">
      <c r="A63" s="35"/>
      <c r="B63" s="35"/>
      <c r="C63" s="35"/>
      <c r="D63" s="35"/>
      <c r="E63" s="35"/>
      <c r="F63" s="35"/>
      <c r="G63" s="35"/>
      <c r="H63" s="35"/>
      <c r="I63" s="35"/>
      <c r="J63" s="35"/>
    </row>
    <row r="64" spans="1:10">
      <c r="A64" s="35"/>
      <c r="B64" s="35"/>
      <c r="C64" s="35"/>
      <c r="D64" s="35"/>
      <c r="E64" s="35"/>
      <c r="F64" s="35"/>
      <c r="G64" s="35"/>
      <c r="H64" s="35"/>
      <c r="I64" s="35"/>
      <c r="J64" s="35"/>
    </row>
    <row r="65" spans="1:10">
      <c r="A65" s="35"/>
      <c r="B65" s="35"/>
      <c r="C65" s="35"/>
      <c r="D65" s="35"/>
      <c r="E65" s="35"/>
      <c r="F65" s="35"/>
      <c r="G65" s="35"/>
      <c r="H65" s="35"/>
      <c r="I65" s="35"/>
      <c r="J65" s="35"/>
    </row>
    <row r="66" spans="1:10">
      <c r="A66" s="35"/>
      <c r="B66" s="35"/>
      <c r="C66" s="35"/>
      <c r="D66" s="35"/>
      <c r="E66" s="35"/>
      <c r="F66" s="35"/>
      <c r="G66" s="35"/>
      <c r="H66" s="35"/>
      <c r="I66" s="35"/>
      <c r="J66" s="35"/>
    </row>
    <row r="67" spans="1:10">
      <c r="A67" s="35"/>
      <c r="B67" s="35"/>
      <c r="C67" s="35"/>
      <c r="D67" s="35"/>
      <c r="E67" s="35"/>
      <c r="F67" s="35"/>
      <c r="G67" s="35"/>
      <c r="H67" s="35"/>
      <c r="I67" s="35"/>
      <c r="J67" s="35"/>
    </row>
    <row r="68" spans="1:10">
      <c r="A68" s="35"/>
      <c r="B68" s="35"/>
      <c r="C68" s="35"/>
      <c r="D68" s="35"/>
      <c r="E68" s="35"/>
      <c r="F68" s="35"/>
      <c r="G68" s="35"/>
      <c r="H68" s="35"/>
      <c r="I68" s="35"/>
      <c r="J68" s="35"/>
    </row>
    <row r="69" spans="1:10">
      <c r="A69" s="35"/>
      <c r="B69" s="35"/>
      <c r="C69" s="35"/>
      <c r="D69" s="35"/>
      <c r="E69" s="35"/>
      <c r="F69" s="35"/>
      <c r="G69" s="35"/>
      <c r="H69" s="35"/>
      <c r="I69" s="35"/>
      <c r="J69" s="35"/>
    </row>
    <row r="70" spans="1:10">
      <c r="A70" s="35"/>
      <c r="B70" s="35"/>
      <c r="C70" s="35"/>
      <c r="D70" s="35"/>
      <c r="E70" s="35"/>
      <c r="F70" s="35"/>
      <c r="G70" s="35"/>
      <c r="H70" s="35"/>
      <c r="I70" s="35"/>
      <c r="J70" s="35"/>
    </row>
    <row r="71" spans="1:10">
      <c r="A71" s="35"/>
      <c r="B71" s="35"/>
      <c r="C71" s="35"/>
      <c r="D71" s="35"/>
      <c r="E71" s="35"/>
      <c r="F71" s="35"/>
      <c r="G71" s="35"/>
      <c r="H71" s="35"/>
      <c r="I71" s="35"/>
      <c r="J71" s="35"/>
    </row>
    <row r="72" spans="1:10">
      <c r="A72" s="35"/>
      <c r="B72" s="35"/>
      <c r="C72" s="35"/>
      <c r="D72" s="35"/>
      <c r="E72" s="35"/>
      <c r="F72" s="35"/>
      <c r="G72" s="35"/>
      <c r="H72" s="35"/>
      <c r="I72" s="35"/>
      <c r="J72" s="35"/>
    </row>
    <row r="73" spans="1:10">
      <c r="A73" s="35"/>
      <c r="B73" s="35"/>
      <c r="C73" s="35"/>
      <c r="D73" s="35"/>
      <c r="E73" s="35"/>
      <c r="F73" s="35"/>
      <c r="G73" s="35"/>
      <c r="H73" s="35"/>
      <c r="I73" s="35"/>
      <c r="J73" s="35"/>
    </row>
    <row r="74" spans="1:10">
      <c r="A74" s="35"/>
      <c r="B74" s="35"/>
      <c r="C74" s="35"/>
      <c r="D74" s="35"/>
      <c r="E74" s="35"/>
      <c r="F74" s="35"/>
      <c r="G74" s="35"/>
      <c r="H74" s="35"/>
      <c r="I74" s="35"/>
      <c r="J74" s="35"/>
    </row>
    <row r="75" spans="1:10">
      <c r="A75" s="35"/>
      <c r="B75" s="35"/>
      <c r="C75" s="35"/>
      <c r="D75" s="35"/>
      <c r="E75" s="35"/>
      <c r="F75" s="35"/>
      <c r="G75" s="35"/>
      <c r="H75" s="35"/>
      <c r="I75" s="35"/>
      <c r="J75" s="35"/>
    </row>
    <row r="76" spans="1:10">
      <c r="A76" s="35"/>
      <c r="B76" s="35"/>
      <c r="C76" s="35"/>
      <c r="D76" s="35"/>
      <c r="E76" s="35"/>
      <c r="F76" s="35"/>
      <c r="G76" s="35"/>
      <c r="H76" s="35"/>
      <c r="I76" s="35"/>
      <c r="J76" s="35"/>
    </row>
    <row r="77" spans="1:10">
      <c r="A77" s="35"/>
      <c r="B77" s="35"/>
      <c r="C77" s="35"/>
      <c r="D77" s="35"/>
      <c r="E77" s="35"/>
      <c r="F77" s="35"/>
      <c r="G77" s="35"/>
      <c r="H77" s="35"/>
      <c r="I77" s="35"/>
      <c r="J77" s="35"/>
    </row>
    <row r="78" spans="1:10">
      <c r="A78" s="35"/>
      <c r="B78" s="35"/>
      <c r="C78" s="35"/>
      <c r="D78" s="35"/>
      <c r="E78" s="35"/>
      <c r="F78" s="35"/>
      <c r="G78" s="35"/>
      <c r="H78" s="35"/>
      <c r="I78" s="35"/>
      <c r="J78" s="35"/>
    </row>
    <row r="79" spans="1:10">
      <c r="A79" s="35"/>
      <c r="B79" s="35"/>
      <c r="C79" s="35"/>
      <c r="D79" s="35"/>
      <c r="E79" s="35"/>
      <c r="F79" s="35"/>
      <c r="G79" s="35"/>
      <c r="H79" s="35"/>
      <c r="I79" s="35"/>
      <c r="J79" s="35"/>
    </row>
    <row r="80" spans="1:10">
      <c r="A80" s="35"/>
      <c r="B80" s="35"/>
      <c r="C80" s="35"/>
      <c r="D80" s="35"/>
      <c r="E80" s="35"/>
      <c r="F80" s="35"/>
      <c r="G80" s="35"/>
      <c r="H80" s="35"/>
      <c r="I80" s="35"/>
      <c r="J80" s="35"/>
    </row>
    <row r="81" spans="1:10">
      <c r="A81" s="35"/>
      <c r="B81" s="35"/>
      <c r="C81" s="35"/>
      <c r="D81" s="35"/>
      <c r="E81" s="35"/>
      <c r="F81" s="35"/>
      <c r="G81" s="35"/>
      <c r="H81" s="35"/>
      <c r="I81" s="35"/>
      <c r="J81" s="35"/>
    </row>
    <row r="82" spans="1:10">
      <c r="A82" s="35"/>
      <c r="B82" s="35"/>
      <c r="C82" s="35"/>
      <c r="D82" s="35"/>
      <c r="E82" s="35"/>
      <c r="F82" s="35"/>
      <c r="G82" s="35"/>
      <c r="H82" s="35"/>
      <c r="I82" s="35"/>
      <c r="J82" s="35"/>
    </row>
    <row r="83" spans="1:10">
      <c r="A83" s="35"/>
      <c r="B83" s="35"/>
      <c r="C83" s="35"/>
      <c r="D83" s="35"/>
      <c r="E83" s="35"/>
      <c r="F83" s="35"/>
      <c r="G83" s="35"/>
      <c r="H83" s="35"/>
      <c r="I83" s="35"/>
      <c r="J83" s="35"/>
    </row>
    <row r="84" spans="1:10">
      <c r="A84" s="35"/>
      <c r="B84" s="35"/>
      <c r="C84" s="35"/>
      <c r="D84" s="35"/>
      <c r="E84" s="35"/>
      <c r="F84" s="35"/>
      <c r="G84" s="35"/>
      <c r="H84" s="35"/>
      <c r="I84" s="35"/>
      <c r="J84" s="35"/>
    </row>
    <row r="85" spans="1:10">
      <c r="A85" s="35"/>
      <c r="B85" s="35"/>
      <c r="C85" s="35"/>
      <c r="D85" s="35"/>
      <c r="E85" s="35"/>
      <c r="F85" s="35"/>
      <c r="G85" s="35"/>
      <c r="H85" s="35"/>
      <c r="I85" s="35"/>
      <c r="J85" s="35"/>
    </row>
    <row r="86" spans="1:10">
      <c r="A86" s="35"/>
      <c r="B86" s="35"/>
      <c r="C86" s="35"/>
      <c r="D86" s="35"/>
      <c r="E86" s="35"/>
      <c r="F86" s="35"/>
      <c r="G86" s="35"/>
      <c r="H86" s="35"/>
      <c r="I86" s="35"/>
      <c r="J86" s="35"/>
    </row>
    <row r="87" spans="1:10">
      <c r="A87" s="35"/>
      <c r="B87" s="35"/>
      <c r="C87" s="35"/>
      <c r="D87" s="35"/>
      <c r="E87" s="35"/>
      <c r="F87" s="35"/>
      <c r="G87" s="35"/>
      <c r="H87" s="35"/>
      <c r="I87" s="35"/>
      <c r="J87" s="35"/>
    </row>
    <row r="88" spans="1:10">
      <c r="A88" s="35"/>
      <c r="B88" s="35"/>
      <c r="C88" s="35"/>
      <c r="D88" s="35"/>
      <c r="E88" s="35"/>
      <c r="F88" s="35"/>
      <c r="G88" s="35"/>
      <c r="H88" s="35"/>
      <c r="I88" s="35"/>
      <c r="J88" s="35"/>
    </row>
    <row r="89" spans="1:10">
      <c r="A89" s="35"/>
      <c r="B89" s="35"/>
      <c r="C89" s="35"/>
      <c r="D89" s="35"/>
      <c r="E89" s="35"/>
      <c r="F89" s="35"/>
      <c r="G89" s="35"/>
      <c r="H89" s="35"/>
      <c r="I89" s="35"/>
      <c r="J89" s="35"/>
    </row>
    <row r="90" spans="1:10">
      <c r="A90" s="35"/>
      <c r="B90" s="35"/>
      <c r="C90" s="35"/>
      <c r="D90" s="35"/>
      <c r="E90" s="35"/>
      <c r="F90" s="35"/>
      <c r="G90" s="35"/>
      <c r="H90" s="35"/>
      <c r="I90" s="35"/>
      <c r="J90" s="35"/>
    </row>
    <row r="91" spans="1:10">
      <c r="A91" s="35"/>
      <c r="B91" s="35"/>
      <c r="C91" s="35"/>
      <c r="D91" s="35"/>
      <c r="E91" s="35"/>
      <c r="F91" s="35"/>
      <c r="G91" s="35"/>
      <c r="H91" s="35"/>
      <c r="I91" s="35"/>
      <c r="J91" s="35"/>
    </row>
    <row r="92" spans="1:10">
      <c r="A92" s="35"/>
      <c r="B92" s="35"/>
      <c r="C92" s="35"/>
      <c r="D92" s="35"/>
      <c r="E92" s="35"/>
      <c r="F92" s="35"/>
      <c r="G92" s="35"/>
      <c r="H92" s="35"/>
      <c r="I92" s="35"/>
      <c r="J92" s="35"/>
    </row>
    <row r="93" spans="1:10">
      <c r="A93" s="35"/>
      <c r="B93" s="35"/>
      <c r="C93" s="35"/>
      <c r="D93" s="35"/>
      <c r="E93" s="35"/>
      <c r="F93" s="35"/>
      <c r="G93" s="35"/>
      <c r="H93" s="35"/>
      <c r="I93" s="35"/>
      <c r="J93" s="35"/>
    </row>
    <row r="94" spans="1:10">
      <c r="A94" s="35"/>
      <c r="B94" s="35"/>
      <c r="C94" s="35"/>
      <c r="D94" s="35"/>
      <c r="E94" s="35"/>
      <c r="F94" s="35"/>
      <c r="G94" s="35"/>
      <c r="H94" s="35"/>
      <c r="I94" s="35"/>
      <c r="J94" s="35"/>
    </row>
    <row r="95" spans="1:10">
      <c r="A95" s="35"/>
      <c r="B95" s="35"/>
      <c r="C95" s="35"/>
      <c r="D95" s="35"/>
      <c r="E95" s="35"/>
      <c r="F95" s="35"/>
      <c r="G95" s="35"/>
      <c r="H95" s="35"/>
      <c r="I95" s="35"/>
      <c r="J95" s="35"/>
    </row>
    <row r="96" spans="1:10">
      <c r="A96" s="35"/>
      <c r="B96" s="35"/>
      <c r="C96" s="35"/>
      <c r="D96" s="35"/>
      <c r="E96" s="35"/>
      <c r="F96" s="35"/>
      <c r="G96" s="35"/>
      <c r="H96" s="35"/>
      <c r="I96" s="35"/>
      <c r="J96" s="35"/>
    </row>
    <row r="97" spans="1:10">
      <c r="A97" s="35"/>
      <c r="B97" s="35"/>
      <c r="C97" s="35"/>
      <c r="D97" s="35"/>
      <c r="E97" s="35"/>
      <c r="F97" s="35"/>
      <c r="G97" s="35"/>
      <c r="H97" s="35"/>
      <c r="I97" s="35"/>
      <c r="J97" s="35"/>
    </row>
    <row r="98" spans="1:10">
      <c r="A98" s="35"/>
      <c r="B98" s="35"/>
      <c r="C98" s="35"/>
      <c r="D98" s="35"/>
      <c r="E98" s="35"/>
      <c r="F98" s="35"/>
      <c r="G98" s="35"/>
      <c r="H98" s="35"/>
      <c r="I98" s="35"/>
      <c r="J98" s="35"/>
    </row>
    <row r="99" spans="1:10">
      <c r="A99" s="35"/>
      <c r="B99" s="35"/>
      <c r="C99" s="35"/>
      <c r="D99" s="35"/>
      <c r="E99" s="35"/>
      <c r="F99" s="35"/>
      <c r="G99" s="35"/>
      <c r="H99" s="35"/>
      <c r="I99" s="35"/>
      <c r="J99" s="35"/>
    </row>
  </sheetData>
  <sheetProtection password="B6E0" sheet="1" objects="1" scenarios="1"/>
  <protectedRanges>
    <protectedRange sqref="D4:E5" name="Rango1"/>
  </protectedRanges>
  <mergeCells count="4">
    <mergeCell ref="C2:E2"/>
    <mergeCell ref="D3:E3"/>
    <mergeCell ref="D4:E4"/>
    <mergeCell ref="D5:E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1 - Preparation</vt:lpstr>
      <vt:lpstr>2 - Physical Installation</vt:lpstr>
      <vt:lpstr>3 - BCSU Upgrade FlexiBSC</vt:lpstr>
      <vt:lpstr>4 - Test HW (ETs+BCSU)</vt:lpstr>
      <vt:lpstr>5 - Performing Loop Test</vt:lpstr>
      <vt:lpstr>6 - Finishing</vt:lpstr>
    </vt:vector>
  </TitlesOfParts>
  <Company>Álvaro Raúl Mendoza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Álvaro R. Mendoza</dc:creator>
  <cp:lastModifiedBy>Álvaro R. Mendoza</cp:lastModifiedBy>
  <dcterms:created xsi:type="dcterms:W3CDTF">2009-12-09T13:10:24Z</dcterms:created>
  <dcterms:modified xsi:type="dcterms:W3CDTF">2011-02-16T23:56:17Z</dcterms:modified>
</cp:coreProperties>
</file>