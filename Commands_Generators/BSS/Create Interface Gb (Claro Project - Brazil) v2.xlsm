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500" windowWidth="18720" windowHeight="7125" activeTab="4"/>
  </bookViews>
  <sheets>
    <sheet name="GBoFR" sheetId="1" r:id="rId1"/>
    <sheet name="GBoIP" sheetId="2" r:id="rId2"/>
    <sheet name="GBoIP S14" sheetId="3" r:id="rId3"/>
    <sheet name="GBoFR (NSEI Proyect)" sheetId="5" r:id="rId4"/>
    <sheet name="GBoIP S14 (NSEI Proyect)" sheetId="4" r:id="rId5"/>
  </sheets>
  <externalReferences>
    <externalReference r:id="rId6"/>
    <externalReference r:id="rId7"/>
    <externalReference r:id="rId8"/>
  </externalReferences>
  <definedNames>
    <definedName name="_002">#REF!</definedName>
    <definedName name="_002_2_">#REF!</definedName>
    <definedName name="_003">#REF!</definedName>
    <definedName name="a" localSheetId="1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a" localSheetId="2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a" localSheetId="4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a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aa" localSheetId="1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aa" localSheetId="2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aa" localSheetId="4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aa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abc" localSheetId="1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abc" localSheetId="2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abc" localSheetId="4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abc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Autor" localSheetId="1">[1]Capa!#REF!</definedName>
    <definedName name="Autor" localSheetId="2">[1]Capa!#REF!</definedName>
    <definedName name="Autor" localSheetId="4">[1]Capa!#REF!</definedName>
    <definedName name="Autor">[1]Capa!#REF!</definedName>
    <definedName name="b" localSheetId="1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b" localSheetId="2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b" localSheetId="4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b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BDADOS">#REF!</definedName>
    <definedName name="bse_al" localSheetId="2">'[2]BSE AL - Plano Numeração'!#REF!</definedName>
    <definedName name="bse_al" localSheetId="4">'[2]BSE AL - Plano Numeração'!#REF!</definedName>
    <definedName name="bse_al">'[2]BSE AL - Plano Numeração'!#REF!</definedName>
    <definedName name="bse_ce" localSheetId="1">'[2]BSE CE - Plano Numeração'!#REF!</definedName>
    <definedName name="bse_ce" localSheetId="2">'[2]BSE CE - Plano Numeração'!#REF!</definedName>
    <definedName name="bse_ce" localSheetId="4">'[2]BSE CE - Plano Numeração'!#REF!</definedName>
    <definedName name="bse_ce">'[2]BSE CE - Plano Numeração'!#REF!</definedName>
    <definedName name="bse_pb" localSheetId="2">'[2]BSE PB - Plano Numeração'!#REF!</definedName>
    <definedName name="bse_pb" localSheetId="4">'[2]BSE PB - Plano Numeração'!#REF!</definedName>
    <definedName name="bse_pb">'[2]BSE PB - Plano Numeração'!#REF!</definedName>
    <definedName name="bse_pe" localSheetId="2">'[2]BSE PE - Plano Numeração'!#REF!</definedName>
    <definedName name="bse_pe" localSheetId="4">'[2]BSE PE - Plano Numeração'!#REF!</definedName>
    <definedName name="bse_pe">'[2]BSE PE - Plano Numeração'!#REF!</definedName>
    <definedName name="bse_pi">#REF!</definedName>
    <definedName name="bse_rn" localSheetId="2">'[2]BSE RN - Plano Numeração'!#REF!</definedName>
    <definedName name="bse_rn" localSheetId="4">'[2]BSE RN - Plano Numeração'!#REF!</definedName>
    <definedName name="bse_rn">'[2]BSE RN - Plano Numeração'!#REF!</definedName>
    <definedName name="cod_ast">#REF!</definedName>
    <definedName name="CRITÉRIO">#REF!</definedName>
    <definedName name="cust_group">#REF!</definedName>
    <definedName name="d" localSheetId="1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d" localSheetId="2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d" localSheetId="4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d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DDF">#REF!</definedName>
    <definedName name="dold" localSheetId="1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dold" localSheetId="2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dold" localSheetId="4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dold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EXTRAÇÃO">#REF!</definedName>
    <definedName name="f" localSheetId="1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f" localSheetId="2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f" localSheetId="4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f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fo" localSheetId="1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fo" localSheetId="2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fo" localSheetId="4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fo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h" localSheetId="1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h" localSheetId="2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h" localSheetId="4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h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j" localSheetId="1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j" localSheetId="2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j" localSheetId="4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j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JKKJ" localSheetId="1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JKKJ" localSheetId="2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JKKJ" localSheetId="4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JKKJ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k" localSheetId="1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k" localSheetId="2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k" localSheetId="4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k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LatLong">#REF!</definedName>
    <definedName name="MAT_FUTURA">#REF!</definedName>
    <definedName name="OeM" localSheetId="1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OeM" localSheetId="2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OeM" localSheetId="4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OeM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Query2">#REF!</definedName>
    <definedName name="rede_roam">#REF!</definedName>
    <definedName name="rede_sin">#REF!</definedName>
    <definedName name="s" localSheetId="1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s" localSheetId="2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s" localSheetId="4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s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smc">#REF!</definedName>
    <definedName name="test" localSheetId="1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test" localSheetId="2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test" localSheetId="4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test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test2" localSheetId="1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test2" localSheetId="2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test2" localSheetId="4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test2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test3" localSheetId="1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test3" localSheetId="2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test3" localSheetId="4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test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w" localSheetId="1">'[3]Terminais Convencionais'!#REF!</definedName>
    <definedName name="w" localSheetId="2">'[3]Terminais Convencionais'!#REF!</definedName>
    <definedName name="w" localSheetId="4">'[3]Terminais Convencionais'!#REF!</definedName>
    <definedName name="w">'[3]Terminais Convencionais'!#REF!</definedName>
    <definedName name="wrn.MSC._.Site._.Folder." localSheetId="1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wrn.MSC._.Site._.Folder." localSheetId="2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wrn.MSC._.Site._.Folder." localSheetId="4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wrn.MSC._.Site._.Folder.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x" localSheetId="1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x" localSheetId="2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x" localSheetId="4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x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z" localSheetId="1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z" localSheetId="2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z" localSheetId="4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z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</definedNames>
  <calcPr calcId="144525"/>
</workbook>
</file>

<file path=xl/calcChain.xml><?xml version="1.0" encoding="utf-8"?>
<calcChain xmlns="http://schemas.openxmlformats.org/spreadsheetml/2006/main">
  <c r="E4" i="5" l="1"/>
  <c r="A3" i="5" s="1"/>
  <c r="E6" i="4" l="1"/>
  <c r="E4" i="4" l="1"/>
  <c r="A3" i="4" s="1"/>
  <c r="B189" i="3" l="1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188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41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235" i="3" l="1"/>
  <c r="B236" i="3"/>
  <c r="B237" i="3"/>
  <c r="B238" i="3"/>
  <c r="B239" i="3"/>
  <c r="B233" i="3"/>
  <c r="B234" i="3"/>
  <c r="AH1" i="1"/>
  <c r="B26" i="1" s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92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73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5" i="1"/>
  <c r="B31" i="1"/>
  <c r="B322" i="3"/>
  <c r="B323" i="3"/>
  <c r="B324" i="3"/>
  <c r="B325" i="3"/>
  <c r="B326" i="3"/>
  <c r="B321" i="3"/>
  <c r="B278" i="3"/>
  <c r="B279" i="3"/>
  <c r="B280" i="3"/>
  <c r="B281" i="3"/>
  <c r="B282" i="3"/>
  <c r="B283" i="3"/>
  <c r="B145" i="3"/>
  <c r="B146" i="3"/>
  <c r="B147" i="3"/>
  <c r="B148" i="3"/>
  <c r="B149" i="3"/>
  <c r="B144" i="3"/>
  <c r="B101" i="3"/>
  <c r="B102" i="3"/>
  <c r="B103" i="3"/>
  <c r="B104" i="3"/>
  <c r="B105" i="3"/>
  <c r="B100" i="3"/>
  <c r="B57" i="3"/>
  <c r="B58" i="3"/>
  <c r="B59" i="3"/>
  <c r="B60" i="3"/>
  <c r="B61" i="3"/>
  <c r="B56" i="3"/>
  <c r="R1" i="3"/>
  <c r="B51" i="3" s="1"/>
  <c r="B128" i="2"/>
  <c r="R1" i="2"/>
  <c r="B25" i="2" s="1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66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02" i="2"/>
  <c r="B99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84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48" i="2"/>
  <c r="B45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30" i="2"/>
</calcChain>
</file>

<file path=xl/sharedStrings.xml><?xml version="1.0" encoding="utf-8"?>
<sst xmlns="http://schemas.openxmlformats.org/spreadsheetml/2006/main" count="983" uniqueCount="450">
  <si>
    <t>RAC</t>
  </si>
  <si>
    <t>LAC</t>
  </si>
  <si>
    <t>BSC</t>
  </si>
  <si>
    <t>1st TSL of external PCM</t>
  </si>
  <si>
    <t>NSEI</t>
  </si>
  <si>
    <t>DLCI</t>
  </si>
  <si>
    <t xml:space="preserve">## !****************************************! ##  </t>
  </si>
  <si>
    <t>## Step // CREATE NETWORK SERVICE VIRTUAL CONNECTION //</t>
  </si>
  <si>
    <t>## Step // CREATE ROUTING AREA //</t>
  </si>
  <si>
    <t>## Step // CREATE FRAME RELAY BEARER CHANNEL //</t>
  </si>
  <si>
    <t>## Step // UNBLOCK NSVCI //</t>
  </si>
  <si>
    <t>## Step // RESET NSEI //</t>
  </si>
  <si>
    <t>Gb over IP configuation</t>
  </si>
  <si>
    <t>STATE</t>
  </si>
  <si>
    <t>SGSN</t>
  </si>
  <si>
    <t>BSC Id</t>
  </si>
  <si>
    <t>NSE Id</t>
  </si>
  <si>
    <t>NS-VC/ NS-VL Id</t>
  </si>
  <si>
    <t>NS-VC/ NS-VL Name</t>
  </si>
  <si>
    <t>BCSU</t>
  </si>
  <si>
    <t>PCU #</t>
  </si>
  <si>
    <t>PCU-IP</t>
  </si>
  <si>
    <t>SGSN-IP Primário</t>
  </si>
  <si>
    <t>BSC-UDP PORT</t>
  </si>
  <si>
    <t>SGSN UDP PORT</t>
  </si>
  <si>
    <t>RDW</t>
  </si>
  <si>
    <t>SDW</t>
  </si>
  <si>
    <t>VLAN Id</t>
  </si>
  <si>
    <t xml:space="preserve">Default GW: </t>
  </si>
  <si>
    <t>Mask:</t>
  </si>
  <si>
    <t>## Step // CONFIGURE NETWORK INT FOR PCUs ETH0 //</t>
  </si>
  <si>
    <t>## Step // CONFIGURE NETWORK INT FOR PCUs ETH1 //</t>
  </si>
  <si>
    <t>## Step // CONFIGURE BCSU GATEWAYS //</t>
  </si>
  <si>
    <t>## Step // CREATE PSEI //</t>
  </si>
  <si>
    <t>## Step // CREATE NSVLI //</t>
  </si>
  <si>
    <t>MCC</t>
  </si>
  <si>
    <t>MNC</t>
  </si>
  <si>
    <t>05</t>
  </si>
  <si>
    <t xml:space="preserve">## !************************************************************************************! ##  </t>
  </si>
  <si>
    <t>!********************************************!</t>
  </si>
  <si>
    <t>! ********************************************!</t>
  </si>
  <si>
    <t>!*********************************************!</t>
  </si>
  <si>
    <t>!*** BSC Gb over IP - Alvaro R. Mendoza ******!</t>
  </si>
  <si>
    <t>!*** BSC Gb over FR - Alvaro R. Mendoza *****!</t>
  </si>
  <si>
    <t>BA</t>
  </si>
  <si>
    <t>SDR-SGNOK01</t>
  </si>
  <si>
    <t>BSCBA51</t>
  </si>
  <si>
    <t>BA51_1</t>
  </si>
  <si>
    <t>BA51_2</t>
  </si>
  <si>
    <t>BA51_3</t>
  </si>
  <si>
    <t>BA51_4</t>
  </si>
  <si>
    <t>BA51_5</t>
  </si>
  <si>
    <t>BA51_6</t>
  </si>
  <si>
    <t>BA51_7</t>
  </si>
  <si>
    <t>BA51_8</t>
  </si>
  <si>
    <t>BA51_10</t>
  </si>
  <si>
    <t>BA51_11</t>
  </si>
  <si>
    <t>BA51_13</t>
  </si>
  <si>
    <t>BA51_14</t>
  </si>
  <si>
    <t>10.173.33.164</t>
  </si>
  <si>
    <t>10.173.33.165</t>
  </si>
  <si>
    <t>10.173.33.166</t>
  </si>
  <si>
    <t>10.173.33.167</t>
  </si>
  <si>
    <t>10.173.33.168</t>
  </si>
  <si>
    <t>10.173.33.169</t>
  </si>
  <si>
    <t>10.173.33.170</t>
  </si>
  <si>
    <t>10.173.33.171</t>
  </si>
  <si>
    <t>10.173.33.173</t>
  </si>
  <si>
    <t>10.173.33.174</t>
  </si>
  <si>
    <t>10.173.33.176</t>
  </si>
  <si>
    <t>10.173.33.177</t>
  </si>
  <si>
    <t>10.170.36.228</t>
  </si>
  <si>
    <t>10.170.36.229</t>
  </si>
  <si>
    <t>10.170.36.230</t>
  </si>
  <si>
    <t>10.173.33.161</t>
  </si>
  <si>
    <t>Inital BCSU</t>
  </si>
  <si>
    <t>Logical PCU</t>
  </si>
  <si>
    <t>BSC (PCU unit)</t>
  </si>
  <si>
    <t>SGSN (PAPU unit)</t>
  </si>
  <si>
    <t>Gb over IP Parameters</t>
  </si>
  <si>
    <t>Comments</t>
  </si>
  <si>
    <t>Default Gateway</t>
  </si>
  <si>
    <t>PSEI</t>
  </si>
  <si>
    <t>IP Address</t>
  </si>
  <si>
    <t>Mask (dec)</t>
  </si>
  <si>
    <t>UDP Port</t>
  </si>
  <si>
    <t>Initial PAPU Number</t>
  </si>
  <si>
    <t>Initial PAPU IP Address</t>
  </si>
  <si>
    <t>NSVLI</t>
  </si>
  <si>
    <t>NSVL Name</t>
  </si>
  <si>
    <t>PRE</t>
  </si>
  <si>
    <t>RDW (Remote Data Weight)</t>
  </si>
  <si>
    <t>RSW (Remote Signalling Weight)</t>
  </si>
  <si>
    <t>/25</t>
  </si>
  <si>
    <t>N</t>
  </si>
  <si>
    <t>Create</t>
  </si>
  <si>
    <t>## Step // CONFIGURE NETWORK INT FOR PCUs ETH0 &amp; ETH1 //</t>
  </si>
  <si>
    <t>## Step // CREATE ROUTING AREA &amp; MODIFY IT//</t>
  </si>
  <si>
    <t>## Step // IP CHECKINGS (PING TO DEF GW AND PAPUs) //</t>
  </si>
  <si>
    <t>TO34_1PRI</t>
  </si>
  <si>
    <t>TO34_1SEC</t>
  </si>
  <si>
    <t>TO34_2PRI</t>
  </si>
  <si>
    <t>TO34_2SEC</t>
  </si>
  <si>
    <t>TO34_3PRI</t>
  </si>
  <si>
    <t>TO34_3SEC</t>
  </si>
  <si>
    <t>TO34_4PRI</t>
  </si>
  <si>
    <t>TO34_4SEC</t>
  </si>
  <si>
    <t>DCE</t>
  </si>
  <si>
    <t>GB over Frame Relay Plan</t>
  </si>
  <si>
    <t>Parameters to associate SGSN Clínicas 1 to BSCs</t>
  </si>
  <si>
    <t>Gb over FR Parameters</t>
  </si>
  <si>
    <t>Connection to SGSN</t>
  </si>
  <si>
    <t>FR Bearer Channel ID</t>
  </si>
  <si>
    <t>FR Bearer name</t>
  </si>
  <si>
    <t>DTE / DCE</t>
  </si>
  <si>
    <t>CIR / Access Rate (kbps)</t>
  </si>
  <si>
    <t>BSC ET-Number</t>
  </si>
  <si>
    <t>SGSN ET-Number</t>
  </si>
  <si>
    <t>NSVCI</t>
  </si>
  <si>
    <t>NSVC Name</t>
  </si>
  <si>
    <t>PCU Links</t>
  </si>
  <si>
    <t>DIRECT</t>
  </si>
  <si>
    <t>TBD</t>
  </si>
  <si>
    <t>-</t>
  </si>
  <si>
    <t>PSE #</t>
  </si>
  <si>
    <t>BSCBA44</t>
  </si>
  <si>
    <t>BSCBA44_13</t>
  </si>
  <si>
    <t>10.170.34.80</t>
  </si>
  <si>
    <t>BSCBA44_14</t>
  </si>
  <si>
    <t>10.170.34.81</t>
  </si>
  <si>
    <t>BSCBA44_15</t>
  </si>
  <si>
    <t>10.170.34.82</t>
  </si>
  <si>
    <t>BSCBA44_16</t>
  </si>
  <si>
    <t>10.170.34.83</t>
  </si>
  <si>
    <t>BSCBA44_17</t>
  </si>
  <si>
    <t>10.170.34.84</t>
  </si>
  <si>
    <t>10.170.34.65</t>
  </si>
  <si>
    <t>BSCBA44_18</t>
  </si>
  <si>
    <t>BSCBA44_19</t>
  </si>
  <si>
    <t>BSCBA44_20</t>
  </si>
  <si>
    <t>BSCBA44_21</t>
  </si>
  <si>
    <t>BSCBA44_22</t>
  </si>
  <si>
    <t>BSCBA44_23</t>
  </si>
  <si>
    <t>BSCBA44_24</t>
  </si>
  <si>
    <t>BSCBA44_25</t>
  </si>
  <si>
    <t>BSCBA44_26</t>
  </si>
  <si>
    <t>BSCBA44_27</t>
  </si>
  <si>
    <t>BSCBA44_28</t>
  </si>
  <si>
    <t>BSCBA44_29</t>
  </si>
  <si>
    <t>BSCBA44_30</t>
  </si>
  <si>
    <t>BSCBA44_31</t>
  </si>
  <si>
    <t>BSCBA44_32</t>
  </si>
  <si>
    <t>BSCBA44_33</t>
  </si>
  <si>
    <t>BSCBA44_34</t>
  </si>
  <si>
    <t>BSCBA44_35</t>
  </si>
  <si>
    <t>BSCBA44_36</t>
  </si>
  <si>
    <t>BSCBA44_37</t>
  </si>
  <si>
    <t>BSCBA44_38</t>
  </si>
  <si>
    <t>BSCBA44_39</t>
  </si>
  <si>
    <t>BSCBA44_40</t>
  </si>
  <si>
    <t>BSCBA44_41</t>
  </si>
  <si>
    <t>BSCBA44_42</t>
  </si>
  <si>
    <t>BSCBA44_43</t>
  </si>
  <si>
    <t>BSCBA44_44</t>
  </si>
  <si>
    <t>10.170.34.85</t>
  </si>
  <si>
    <t>10.170.34.86</t>
  </si>
  <si>
    <t>10.170.34.87</t>
  </si>
  <si>
    <t>10.170.34.88</t>
  </si>
  <si>
    <t>10.170.34.89</t>
  </si>
  <si>
    <t>10.170.34.90</t>
  </si>
  <si>
    <t>10.170.34.91</t>
  </si>
  <si>
    <t>10.170.34.92</t>
  </si>
  <si>
    <t>10.170.34.93</t>
  </si>
  <si>
    <t>10.170.34.94</t>
  </si>
  <si>
    <t>10.170.34.95</t>
  </si>
  <si>
    <t>10.170.34.96</t>
  </si>
  <si>
    <t>10.170.34.97</t>
  </si>
  <si>
    <t>10.170.34.98</t>
  </si>
  <si>
    <t>10.170.34.99</t>
  </si>
  <si>
    <t>10.170.34.100</t>
  </si>
  <si>
    <t>10.170.34.101</t>
  </si>
  <si>
    <t>10.170.34.102</t>
  </si>
  <si>
    <t>10.170.34.103</t>
  </si>
  <si>
    <t>10.170.34.104</t>
  </si>
  <si>
    <t>10.170.34.105</t>
  </si>
  <si>
    <t>10.170.34.106</t>
  </si>
  <si>
    <t>10.170.34.107</t>
  </si>
  <si>
    <t>10.170.34.108</t>
  </si>
  <si>
    <t>10.170.34.109</t>
  </si>
  <si>
    <t>10.170.34.110</t>
  </si>
  <si>
    <t>10.170.34.111</t>
  </si>
  <si>
    <t>10.170.34.112</t>
  </si>
  <si>
    <t>10.170.34.113</t>
  </si>
  <si>
    <t>10.170.34.114</t>
  </si>
  <si>
    <t>10.170.34.115</t>
  </si>
  <si>
    <t>"</t>
  </si>
  <si>
    <t>!**********************************************************************************************************!</t>
  </si>
  <si>
    <t>!*** BSC Gb over IP - Alvaro R. Mendoza *******************************************************************!</t>
  </si>
  <si>
    <t>BSCDF39</t>
  </si>
  <si>
    <t>Gb over FR configuation</t>
  </si>
  <si>
    <t>FR Bearer Channel ID (BCI)</t>
  </si>
  <si>
    <t>PCU</t>
  </si>
  <si>
    <t>FR Bearer name (BCN)</t>
  </si>
  <si>
    <t>DTE/DCE
BSC</t>
  </si>
  <si>
    <t>DTE/DCE
SGSN</t>
  </si>
  <si>
    <t>CIR/Access Rate Kb</t>
  </si>
  <si>
    <t>Access Rate TS</t>
  </si>
  <si>
    <t>ET ID (External PCM)
BSC</t>
  </si>
  <si>
    <t>ET ID (External PCM)
SGSN</t>
  </si>
  <si>
    <t>Pri/Sec</t>
  </si>
  <si>
    <t>NS_VCI (ID)</t>
  </si>
  <si>
    <t>NS_VCI (NAME)</t>
  </si>
  <si>
    <t>DTE</t>
  </si>
  <si>
    <t>Primária</t>
  </si>
  <si>
    <t>Secundária</t>
  </si>
  <si>
    <t>366 / 466 / 665 / 66</t>
  </si>
  <si>
    <t>BSCMT33</t>
  </si>
  <si>
    <t>BSA-SGNOK03</t>
  </si>
  <si>
    <t>BSCMT33_31</t>
  </si>
  <si>
    <t>BSCMT33_32</t>
  </si>
  <si>
    <t>BSCMT33_33</t>
  </si>
  <si>
    <t>BSCMT33_34</t>
  </si>
  <si>
    <t>BSCMT33_35</t>
  </si>
  <si>
    <t>BSCMT33_36</t>
  </si>
  <si>
    <t>BSCMT33_37</t>
  </si>
  <si>
    <t>BSCMT33_38</t>
  </si>
  <si>
    <t>BSCMT33_39</t>
  </si>
  <si>
    <t>BSCMT33_40</t>
  </si>
  <si>
    <t>BSCMT33_41</t>
  </si>
  <si>
    <t>BSCMT33_42</t>
  </si>
  <si>
    <t>BSCMT33_43</t>
  </si>
  <si>
    <t>BSCMT33_44</t>
  </si>
  <si>
    <t>BSCMT33_45</t>
  </si>
  <si>
    <t>BSCMT33_46</t>
  </si>
  <si>
    <t>BSCMT33_47</t>
  </si>
  <si>
    <t>BSCMT33_48</t>
  </si>
  <si>
    <t>MT33_16PRI</t>
  </si>
  <si>
    <t>MT33_16SEC</t>
  </si>
  <si>
    <t>MT33_17PRI</t>
  </si>
  <si>
    <t>MT33_17SEC</t>
  </si>
  <si>
    <t>MT33_18PRI</t>
  </si>
  <si>
    <t>MT33_18SEC</t>
  </si>
  <si>
    <t>MT33_19PRI</t>
  </si>
  <si>
    <t>MT33_19SEC</t>
  </si>
  <si>
    <t>MT33_20PRI</t>
  </si>
  <si>
    <t>MT33_20SEC</t>
  </si>
  <si>
    <t>MT33_21PRI</t>
  </si>
  <si>
    <t>MT33_21SEC</t>
  </si>
  <si>
    <t>MT33_22PRI</t>
  </si>
  <si>
    <t>MT33_22SEC</t>
  </si>
  <si>
    <t>MT33_23PRI</t>
  </si>
  <si>
    <t>MT33_23SEC</t>
  </si>
  <si>
    <t>MT33_24PRI</t>
  </si>
  <si>
    <t>MT33_24SEC</t>
  </si>
  <si>
    <t>## BSCMT33 | BSA-SGNOK03 | CREATE FRAME RELAY BEARER CHANNEL</t>
  </si>
  <si>
    <t>## BSCMT33 | BSA-SGNOK03 | CREATE NETWORK SERVICE VIRTUAL CONNECTION</t>
  </si>
  <si>
    <t>## BSCMT33 | BSA-SGNOK03 | UNBLOCK NSVCI</t>
  </si>
  <si>
    <t>## BSCMT33 | BSA-SGNOK03 | RESET NSEI</t>
  </si>
  <si>
    <t>## BSCMT33 | BSA-SGNOK03 | MODIFY ROUTING AREA (ADD NEWs NSEIs)</t>
  </si>
  <si>
    <t>ZFUC:31,BSCMT33_31:6:300,1:BCSU,2,6;</t>
  </si>
  <si>
    <t>ZFXC:NSVCI=530,NAME=MT33_16PRI,NSEI=5064:DLCI=530,CIR=384:BCN=MT33_16PRI;</t>
  </si>
  <si>
    <t>ZFXS:NSVCI=530:U;</t>
  </si>
  <si>
    <t>ZFXR:NSEI=5064;</t>
  </si>
  <si>
    <t>ZEBH:MCC=724,MNC=05,LAC=366 / 466 / 665 / 66,RAC=1:A:NSEI=5064;</t>
  </si>
  <si>
    <t>ZFUC:32,BSCMT33_32:6:288,1:BCSU,2,6;</t>
  </si>
  <si>
    <t>ZFXC:NSVCI=531,NAME=MT33_16SEC,NSEI=5064:DLCI=531,CIR=384:BCN=MT33_16SEC;</t>
  </si>
  <si>
    <t>ZFXS:NSVCI=531:U;</t>
  </si>
  <si>
    <t>ZFUC:33,BSCMT33_33:6:300,7:BCSU,3,5;</t>
  </si>
  <si>
    <t>ZFXC:NSVCI=532,NAME=MT33_17PRI,NSEI=5065:DLCI=532,CIR=384:BCN=MT33_17PRI;</t>
  </si>
  <si>
    <t>ZFXS:NSVCI=532:U;</t>
  </si>
  <si>
    <t>ZFXR:NSEI=5065;</t>
  </si>
  <si>
    <t>ZEBH:MCC=724,MNC=05,LAC=366 / 466 / 665 / 66,RAC=1:A:NSEI=5065;</t>
  </si>
  <si>
    <t>ZFUC:34,BSCMT33_34:6:288,7:BCSU,3,5;</t>
  </si>
  <si>
    <t>ZFXC:NSVCI=533,NAME=MT33_17SEC,NSEI=5065:DLCI=533,CIR=384:BCN=MT33_17SEC;</t>
  </si>
  <si>
    <t>ZFXS:NSVCI=533:U;</t>
  </si>
  <si>
    <t>ZFUC:35,BSCMT33_35:6:300,13:BCSU,3,6;</t>
  </si>
  <si>
    <t>ZFXC:NSVCI=534,NAME=MT33_18PRI,NSEI=5066:DLCI=534,CIR=384:BCN=MT33_18PRI;</t>
  </si>
  <si>
    <t>ZFXS:NSVCI=534:U;</t>
  </si>
  <si>
    <t>ZFXR:NSEI=5066;</t>
  </si>
  <si>
    <t>ZEBH:MCC=724,MNC=05,LAC=366 / 466 / 665 / 66,RAC=1:A:NSEI=5066;</t>
  </si>
  <si>
    <t>ZFUC:36,BSCMT33_36:6:288,13:BCSU,3,6;</t>
  </si>
  <si>
    <t>ZFXC:NSVCI=535,NAME=MT33_18SEC,NSEI=5066:DLCI=535,CIR=384:BCN=MT33_18SEC;</t>
  </si>
  <si>
    <t>ZFXS:NSVCI=535:U;</t>
  </si>
  <si>
    <t>ZFUC:37,BSCMT33_37:6:300,19:BCSU,4,5;</t>
  </si>
  <si>
    <t>ZFXC:NSVCI=536,NAME=MT33_19PRI,NSEI=5067:DLCI=536,CIR=384:BCN=MT33_19PRI;</t>
  </si>
  <si>
    <t>ZFXS:NSVCI=536:U;</t>
  </si>
  <si>
    <t>ZFXR:NSEI=5067;</t>
  </si>
  <si>
    <t>ZEBH:MCC=724,MNC=05,LAC=366 / 466 / 665 / 66,RAC=1:A:NSEI=5067;</t>
  </si>
  <si>
    <t>ZFUC:38,BSCMT33_38:6:288,19:BCSU,4,5;</t>
  </si>
  <si>
    <t>ZFXC:NSVCI=537,NAME=MT33_19SEC,NSEI=5067:DLCI=537,CIR=384:BCN=MT33_19SEC;</t>
  </si>
  <si>
    <t>ZFXS:NSVCI=537:U;</t>
  </si>
  <si>
    <t>ZFUC:39,BSCMT33_39:6:300,25:BCSU,4,6;</t>
  </si>
  <si>
    <t>ZFXC:NSVCI=538,NAME=MT33_20PRI,NSEI=5068:DLCI=538,CIR=384:BCN=MT33_20PRI;</t>
  </si>
  <si>
    <t>ZFXS:NSVCI=538:U;</t>
  </si>
  <si>
    <t>ZFXR:NSEI=5068;</t>
  </si>
  <si>
    <t>ZEBH:MCC=724,MNC=05,LAC=366 / 466 / 665 / 66,RAC=1:A:NSEI=5068;</t>
  </si>
  <si>
    <t>ZFUC:40,BSCMT33_40:6:288,25:BCSU,4,6;</t>
  </si>
  <si>
    <t>ZFXC:NSVCI=539,NAME=MT33_20SEC,NSEI=5068:DLCI=539,CIR=384:BCN=MT33_20SEC;</t>
  </si>
  <si>
    <t>ZFXS:NSVCI=539:U;</t>
  </si>
  <si>
    <t>ZFUC:41,BSCMT33_41:6:292,1:BCSU,5,5;</t>
  </si>
  <si>
    <t>ZFXC:NSVCI=540,NAME=MT33_21PRI,NSEI=5069:DLCI=540,CIR=384:BCN=MT33_21PRI;</t>
  </si>
  <si>
    <t>ZFXS:NSVCI=540:U;</t>
  </si>
  <si>
    <t>ZFXR:NSEI=5069;</t>
  </si>
  <si>
    <t>ZEBH:MCC=724,MNC=05,LAC=366 / 466 / 665 / 66,RAC=1:A:NSEI=5069;</t>
  </si>
  <si>
    <t>ZFUC:42,BSCMT33_42:6:296,1:BCSU,5,5;</t>
  </si>
  <si>
    <t>ZFXC:NSVCI=541,NAME=MT33_21SEC,NSEI=5069:DLCI=541,CIR=384:BCN=MT33_21SEC;</t>
  </si>
  <si>
    <t>ZFXS:NSVCI=541:U;</t>
  </si>
  <si>
    <t>ZFUC:43,BSCMT33_43:6:292,7:BCSU,5,6;</t>
  </si>
  <si>
    <t>ZFXC:NSVCI=542,NAME=MT33_22PRI,NSEI=5070:DLCI=542,CIR=384:BCN=MT33_22PRI;</t>
  </si>
  <si>
    <t>ZFXS:NSVCI=542:U;</t>
  </si>
  <si>
    <t>ZFXR:NSEI=5070;</t>
  </si>
  <si>
    <t>ZEBH:MCC=724,MNC=05,LAC=366 / 466 / 665 / 66,RAC=1:A:NSEI=5070;</t>
  </si>
  <si>
    <t>ZFUC:44,BSCMT33_44:6:296,7:BCSU,5,6;</t>
  </si>
  <si>
    <t>ZFXC:NSVCI=543,NAME=MT33_22SEC,NSEI=5070:DLCI=543,CIR=384:BCN=MT33_22SEC;</t>
  </si>
  <si>
    <t>ZFXS:NSVCI=543:U;</t>
  </si>
  <si>
    <t>ZFUC:45,BSCMT33_45:6:292,13:BCSU,6,5;</t>
  </si>
  <si>
    <t>ZFXC:NSVCI=544,NAME=MT33_23PRI,NSEI=5071:DLCI=544,CIR=384:BCN=MT33_23PRI;</t>
  </si>
  <si>
    <t>ZFXS:NSVCI=544:U;</t>
  </si>
  <si>
    <t>ZFXR:NSEI=5071;</t>
  </si>
  <si>
    <t>ZEBH:MCC=724,MNC=05,LAC=366 / 466 / 665 / 66,RAC=1:A:NSEI=5071;</t>
  </si>
  <si>
    <t>ZFUC:46,BSCMT33_46:6:296,13:BCSU,6,5;</t>
  </si>
  <si>
    <t>ZFXC:NSVCI=545,NAME=MT33_23SEC,NSEI=5071:DLCI=545,CIR=384:BCN=MT33_23SEC;</t>
  </si>
  <si>
    <t>ZFXS:NSVCI=545:U;</t>
  </si>
  <si>
    <t>ZFUC:47,BSCMT33_47:6:292,19:BCSU,6,6;</t>
  </si>
  <si>
    <t>ZFXC:NSVCI=546,NAME=MT33_24PRI,NSEI=5072:DLCI=546,CIR=384:BCN=MT33_24PRI;</t>
  </si>
  <si>
    <t>ZFXS:NSVCI=546:U;</t>
  </si>
  <si>
    <t>ZFXR:NSEI=5072;</t>
  </si>
  <si>
    <t>ZEBH:MCC=724,MNC=05,LAC=366 / 466 / 665 / 66,RAC=1:A:NSEI=5072;</t>
  </si>
  <si>
    <t>ZFUC:48,BSCMT33_48:6:296,19:BCSU,6,6;</t>
  </si>
  <si>
    <t>ZFXC:NSVCI=547,NAME=MT33_24SEC,NSEI=5072:DLCI=547,CIR=384:BCN=MT33_24SEC;</t>
  </si>
  <si>
    <t>ZFXS:NSVCI=547:U;</t>
  </si>
  <si>
    <t>SDR-SGNOK02</t>
  </si>
  <si>
    <t>BSCBA35</t>
  </si>
  <si>
    <t>10.171.33.193</t>
  </si>
  <si>
    <t>BA35_01</t>
  </si>
  <si>
    <t>BA35_02</t>
  </si>
  <si>
    <t>BA35_03</t>
  </si>
  <si>
    <t>BA35_04</t>
  </si>
  <si>
    <t>BA35_05</t>
  </si>
  <si>
    <t>BA35_06</t>
  </si>
  <si>
    <t>BA35_07</t>
  </si>
  <si>
    <t>BA35_08</t>
  </si>
  <si>
    <t>BA35_09</t>
  </si>
  <si>
    <t>BA35_10</t>
  </si>
  <si>
    <t>BA35_11</t>
  </si>
  <si>
    <t>BA35_12</t>
  </si>
  <si>
    <t>10.171.33.196</t>
  </si>
  <si>
    <t>10.171.33.197</t>
  </si>
  <si>
    <t>10.171.33.198</t>
  </si>
  <si>
    <t>10.171.33.199</t>
  </si>
  <si>
    <t>10.171.33.200</t>
  </si>
  <si>
    <t>10.171.33.201</t>
  </si>
  <si>
    <t>10.171.33.202</t>
  </si>
  <si>
    <t>10.171.33.203</t>
  </si>
  <si>
    <t>10.171.33.204</t>
  </si>
  <si>
    <t>10.171.33.205</t>
  </si>
  <si>
    <t>10.171.33.206</t>
  </si>
  <si>
    <t>10.171.33.207</t>
  </si>
  <si>
    <t>## BSCBA35 | SDR-SGNOK02 | CONFIGURE NETWORK INT FOR PCUs ETH0 &amp; ETH1</t>
  </si>
  <si>
    <t>## BSCBA35 | SDR-SGNOK02 | CONFIGURE BCSUs GATEWAYs</t>
  </si>
  <si>
    <t>## BSCBA35 | SDR-SGNOK02 | CREATE PSEIs</t>
  </si>
  <si>
    <t>## BSCBA35 | SDR-SGNOK02 | CREATE NSVLIs</t>
  </si>
  <si>
    <t>## BSCBA35 | SDR-SGNOK02 | IP CHECKINGs (PING TO DEFAULT GATEWAY)</t>
  </si>
  <si>
    <t>## BSCBA35 | SDR-SGNOK02 | IP CHECKINGs (PING TO PAPUs)</t>
  </si>
  <si>
    <t>## BSCBA35 | SDR-SGNOK02 | MODIFY ROUTING AREA (ADD NEWs NSEIs)</t>
  </si>
  <si>
    <t>ZQRN:BCSU,0:PCU2D,3:IFETH0,IFETH1:"10.171.33.196",25,L;</t>
  </si>
  <si>
    <t>ZQKC:BCSU,0:PCU2D,3::"10.171.33.193":LOG;</t>
  </si>
  <si>
    <t>ZFXA:PSEI=0,BCSU=0,PCU=3;</t>
  </si>
  <si>
    <t>ZQRX:BCSU,0:PCU2D,3:PING:IP="10.171.33.193";</t>
  </si>
  <si>
    <t>ZEBH:MCC=724,MNC=05,LAC=9971,RAC=1:A:NSEI=7045;</t>
  </si>
  <si>
    <t>ZQRN:BCSU,0:PCU2D,4:IFETH0,IFETH1:"10.171.33.197",25,L;</t>
  </si>
  <si>
    <t>ZQKC:BCSU,0:PCU2D,4::"10.171.33.193":LOG;</t>
  </si>
  <si>
    <t>ZFXA:PSEI=1,BCSU=0,PCU=4;</t>
  </si>
  <si>
    <t>ZQRX:BCSU,0:PCU2D,4:PING:IP="10.171.33.193";</t>
  </si>
  <si>
    <t>ZEBH:MCC=724,MNC=05,LAC=9971,RAC=1:A:NSEI=7046;</t>
  </si>
  <si>
    <t>ZQRN:BCSU,6:PCU2D,3:IFETH0,IFETH1:"10.171.33.198",25,L;</t>
  </si>
  <si>
    <t>ZQKC:BCSU,6:PCU2D,3::"10.171.33.193":LOG;</t>
  </si>
  <si>
    <t>ZFXA:PSEI=2,BCSU=6,PCU=3;</t>
  </si>
  <si>
    <t>ZQRX:BCSU,6:PCU2D,3:PING:IP="10.171.33.193";</t>
  </si>
  <si>
    <t>ZEBH:MCC=724,MNC=05,LAC=9971,RAC=1:A:NSEI=7047;</t>
  </si>
  <si>
    <t>ZQRN:BCSU,6:PCU2D,4:IFETH0,IFETH1:"10.171.33.199",25,L;</t>
  </si>
  <si>
    <t>ZQKC:BCSU,6:PCU2D,4::"10.171.33.193":LOG;</t>
  </si>
  <si>
    <t>ZFXA:PSEI=3,BCSU=6,PCU=4;</t>
  </si>
  <si>
    <t>ZQRX:BCSU,6:PCU2D,4:PING:IP="10.171.33.193";</t>
  </si>
  <si>
    <t>ZEBH:MCC=724,MNC=05,LAC=9971,RAC=1:A:NSEI=7048;</t>
  </si>
  <si>
    <t>ZQRN:BCSU,1:PCU2D,3:IFETH0,IFETH1:"10.171.33.200",25,L;</t>
  </si>
  <si>
    <t>ZQKC:BCSU,1:PCU2D,3::"10.171.33.193":LOG;</t>
  </si>
  <si>
    <t>ZFXA:PSEI=4,BCSU=1,PCU=3;</t>
  </si>
  <si>
    <t>ZQRX:BCSU,1:PCU2D,3:PING:IP="10.171.33.193";</t>
  </si>
  <si>
    <t>ZEBH:MCC=724,MNC=05,LAC=9971,RAC=1:A:NSEI=7049;</t>
  </si>
  <si>
    <t>ZQRN:BCSU,1:PCU2D,4:IFETH0,IFETH1:"10.171.33.201",25,L;</t>
  </si>
  <si>
    <t>ZQKC:BCSU,1:PCU2D,4::"10.171.33.193":LOG;</t>
  </si>
  <si>
    <t>ZFXA:PSEI=5,BCSU=1,PCU=4;</t>
  </si>
  <si>
    <t>ZQRX:BCSU,1:PCU2D,4:PING:IP="10.171.33.193";</t>
  </si>
  <si>
    <t>ZEBH:MCC=724,MNC=05,LAC=9971,RAC=1:A:NSEI=7050;</t>
  </si>
  <si>
    <t>ZQRN:BCSU,2:PCU2D,3:IFETH0,IFETH1:"10.171.33.202",25,L;</t>
  </si>
  <si>
    <t>ZQKC:BCSU,2:PCU2D,3::"10.171.33.193":LOG;</t>
  </si>
  <si>
    <t>ZFXA:PSEI=6,BCSU=2,PCU=3;</t>
  </si>
  <si>
    <t>ZQRX:BCSU,2:PCU2D,3:PING:IP="10.171.33.193";</t>
  </si>
  <si>
    <t>ZEBH:MCC=724,MNC=05,LAC=9971,RAC=1:A:NSEI=7051;</t>
  </si>
  <si>
    <t>ZQRN:BCSU,2:PCU2D,4:IFETH0,IFETH1:"10.171.33.203",25,L;</t>
  </si>
  <si>
    <t>ZQKC:BCSU,2:PCU2D,4::"10.171.33.193":LOG;</t>
  </si>
  <si>
    <t>ZFXA:PSEI=7,BCSU=2,PCU=4;</t>
  </si>
  <si>
    <t>ZQRX:BCSU,2:PCU2D,4:PING:IP="10.171.33.193";</t>
  </si>
  <si>
    <t>ZEBH:MCC=724,MNC=05,LAC=9971,RAC=1:A:NSEI=7052;</t>
  </si>
  <si>
    <t>ZQRN:BCSU,3:PCU2D,3:IFETH0,IFETH1:"10.171.33.204",25,L;</t>
  </si>
  <si>
    <t>ZQKC:BCSU,3:PCU2D,3::"10.171.33.193":LOG;</t>
  </si>
  <si>
    <t>ZFXA:PSEI=8,BCSU=3,PCU=3;</t>
  </si>
  <si>
    <t>ZQRX:BCSU,3:PCU2D,3:PING:IP="10.171.33.193";</t>
  </si>
  <si>
    <t>ZEBH:MCC=724,MNC=05,LAC=9971,RAC=1:A:NSEI=7053;</t>
  </si>
  <si>
    <t>ZQRN:BCSU,3:PCU2D,4:IFETH0,IFETH1:"10.171.33.205",25,L;</t>
  </si>
  <si>
    <t>ZQKC:BCSU,3:PCU2D,4::"10.171.33.193":LOG;</t>
  </si>
  <si>
    <t>ZFXA:PSEI=9,BCSU=3,PCU=4;</t>
  </si>
  <si>
    <t>ZQRX:BCSU,3:PCU2D,4:PING:IP="10.171.33.193";</t>
  </si>
  <si>
    <t>ZEBH:MCC=724,MNC=05,LAC=9971,RAC=1:A:NSEI=7103;</t>
  </si>
  <si>
    <t>ZQRN:BCSU,5:PCU2D,3:IFETH0,IFETH1:"10.171.33.206",25,L;</t>
  </si>
  <si>
    <t>ZQKC:BCSU,5:PCU2D,3::"10.171.33.193":LOG;</t>
  </si>
  <si>
    <t>ZFXA:PSEI=10,BCSU=5,PCU=3;</t>
  </si>
  <si>
    <t>ZQRX:BCSU,5:PCU2D,3:PING:IP="10.171.33.193";</t>
  </si>
  <si>
    <t>ZEBH:MCC=724,MNC=05,LAC=9971,RAC=1:A:NSEI=7104;</t>
  </si>
  <si>
    <t>ZQRN:BCSU,5:PCU2D,4:IFETH0,IFETH1:"10.171.33.207",25,L;</t>
  </si>
  <si>
    <t>ZQKC:BCSU,5:PCU2D,4::"10.171.33.193":LOG;</t>
  </si>
  <si>
    <t>ZFXA:PSEI=11,BCSU=5,PCU=4;</t>
  </si>
  <si>
    <t>ZQRX:BCSU,5:PCU2D,4:PING:IP="10.171.33.193";</t>
  </si>
  <si>
    <t>ZEBH:MCC=724,MNC=05,LAC=9971,RAC=1:A:NSEI=7105;</t>
  </si>
  <si>
    <t>10.158.15.139</t>
  </si>
  <si>
    <t>ZFXK:NSVLI=7045,NAME=BA35_01,NSEI=7045,PSEI=0:LPNBR=50000,PRE=N:RIP="10.158.15.139",RPNBR=50000,RDW=50,RSW=50;</t>
  </si>
  <si>
    <t>ZQRX:BCSU,0:PCU2D,3:PING:IP="10.158.15.139";</t>
  </si>
  <si>
    <t>ZFXK:NSVLI=7046,NAME=BA35_02,NSEI=7046,PSEI=1:LPNBR=50000,PRE=N:RIP="10.158.15.139",RPNBR=50001,RDW=50,RSW=50;</t>
  </si>
  <si>
    <t>ZQRX:BCSU,0:PCU2D,4:PING:IP="10.158.15.139";</t>
  </si>
  <si>
    <t>ZFXK:NSVLI=7047,NAME=BA35_03,NSEI=7047,PSEI=2:LPNBR=50000,PRE=N:RIP="10.158.15.139",RPNBR=50002,RDW=50,RSW=50;</t>
  </si>
  <si>
    <t>ZQRX:BCSU,6:PCU2D,3:PING:IP="10.158.15.139";</t>
  </si>
  <si>
    <t>ZFXK:NSVLI=7048,NAME=BA35_04,NSEI=7048,PSEI=3:LPNBR=50000,PRE=N:RIP="10.158.15.139",RPNBR=50003,RDW=50,RSW=50;</t>
  </si>
  <si>
    <t>ZQRX:BCSU,6:PCU2D,4:PING:IP="10.158.15.139";</t>
  </si>
  <si>
    <t>ZFXK:NSVLI=7049,NAME=BA35_05,NSEI=7049,PSEI=4:LPNBR=50000,PRE=N:RIP="10.158.15.139",RPNBR=50004,RDW=50,RSW=50;</t>
  </si>
  <si>
    <t>ZQRX:BCSU,1:PCU2D,3:PING:IP="10.158.15.139";</t>
  </si>
  <si>
    <t>ZFXK:NSVLI=7050,NAME=BA35_06,NSEI=7050,PSEI=5:LPNBR=50000,PRE=N:RIP="10.158.15.139",RPNBR=50005,RDW=50,RSW=50;</t>
  </si>
  <si>
    <t>ZQRX:BCSU,1:PCU2D,4:PING:IP="10.158.15.139";</t>
  </si>
  <si>
    <t>ZFXK:NSVLI=7051,NAME=BA35_07,NSEI=7051,PSEI=6:LPNBR=50000,PRE=N:RIP="10.158.15.139",RPNBR=50006,RDW=50,RSW=50;</t>
  </si>
  <si>
    <t>ZQRX:BCSU,2:PCU2D,3:PING:IP="10.158.15.139";</t>
  </si>
  <si>
    <t>ZFXK:NSVLI=7052,NAME=BA35_08,NSEI=7052,PSEI=7:LPNBR=50000,PRE=N:RIP="10.158.15.139",RPNBR=50007,RDW=50,RSW=50;</t>
  </si>
  <si>
    <t>ZQRX:BCSU,2:PCU2D,4:PING:IP="10.158.15.139";</t>
  </si>
  <si>
    <t>ZFXK:NSVLI=7053,NAME=BA35_09,NSEI=7053,PSEI=8:LPNBR=50000,PRE=N:RIP="10.158.15.139",RPNBR=50008,RDW=50,RSW=50;</t>
  </si>
  <si>
    <t>ZQRX:BCSU,3:PCU2D,3:PING:IP="10.158.15.139";</t>
  </si>
  <si>
    <t>ZFXK:NSVLI=7103,NAME=BA35_10,NSEI=7103,PSEI=9:LPNBR=50000,PRE=N:RIP="10.158.15.139",RPNBR=50469,RDW=50,RSW=50;</t>
  </si>
  <si>
    <t>ZQRX:BCSU,3:PCU2D,4:PING:IP="10.158.15.139";</t>
  </si>
  <si>
    <t>ZFXK:NSVLI=7104,NAME=BA35_11,NSEI=7104,PSEI=10:LPNBR=50000,PRE=N:RIP="10.158.15.139",RPNBR=50470,RDW=50,RSW=50;</t>
  </si>
  <si>
    <t>ZQRX:BCSU,5:PCU2D,3:PING:IP="10.158.15.139";</t>
  </si>
  <si>
    <t>ZFXK:NSVLI=7105,NAME=BA35_12,NSEI=7105,PSEI=11:LPNBR=50000,PRE=N:RIP="10.158.15.139",RPNBR=50471,RDW=50,RSW=50;</t>
  </si>
  <si>
    <t>ZQRX:BCSU,5:PCU2D,4:PING:IP="10.158.15.139";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</si>
</sst>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 * #,##0_ ;_ * \-#,##0_ ;_ * &quot;-&quot;_ ;_ @_ "/>
    <numFmt numFmtId="165" formatCode="_ * #,##0.00_ ;_ * \-#,##0.00_ ;_ * &quot;-&quot;??_ ;_ @_ "/>
    <numFmt numFmtId="166" formatCode="0.000_)"/>
    <numFmt numFmtId="167" formatCode="_([$€-2]* #,##0.00_);_([$€-2]* \(#,##0.00\);_([$€-2]* &quot;-&quot;??_)"/>
    <numFmt numFmtId="168" formatCode="0.00_)"/>
    <numFmt numFmtId="169" formatCode="_ &quot;￥&quot;* #,##0_ ;_ &quot;￥&quot;* \-#,##0_ ;_ &quot;￥&quot;* &quot;-&quot;_ ;_ @_ "/>
    <numFmt numFmtId="170" formatCode="_ &quot;￥&quot;* #,##0.00_ ;_ &quot;￥&quot;* \-#,##0.00_ ;_ &quot;￥&quot;* &quot;-&quot;??_ ;_ @_ "/>
  </numFmts>
  <fonts count="49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20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sz val="10"/>
      <color indexed="10"/>
      <name val="Rotis Sans Serif for Nokia"/>
    </font>
    <font>
      <sz val="12"/>
      <name val="Tms Rmn"/>
    </font>
    <font>
      <sz val="11"/>
      <name val="Tms Rmn"/>
    </font>
    <font>
      <sz val="8"/>
      <name val="Arial Narrow"/>
      <family val="2"/>
    </font>
    <font>
      <sz val="10"/>
      <name val="Arial Bold"/>
    </font>
    <font>
      <sz val="8"/>
      <name val="Arial Narow"/>
    </font>
    <font>
      <sz val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0"/>
      <name val="Courier New"/>
      <family val="3"/>
    </font>
    <font>
      <b/>
      <sz val="11"/>
      <name val="Times New Roman"/>
      <family val="1"/>
    </font>
    <font>
      <sz val="12"/>
      <name val="新細明體"/>
      <family val="1"/>
      <charset val="136"/>
    </font>
    <font>
      <sz val="12"/>
      <name val="宋体"/>
      <charset val="134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3"/>
      <name val="Calibri"/>
      <family val="2"/>
      <scheme val="minor"/>
    </font>
    <font>
      <sz val="10"/>
      <color theme="0" tint="-0.249977111117893"/>
      <name val="Arial"/>
      <family val="2"/>
    </font>
    <font>
      <b/>
      <sz val="10"/>
      <color theme="0" tint="-0.249977111117893"/>
      <name val="Arial"/>
      <family val="2"/>
    </font>
    <font>
      <sz val="8"/>
      <name val="Calibri"/>
      <family val="2"/>
      <scheme val="minor"/>
    </font>
    <font>
      <sz val="10"/>
      <color theme="0"/>
      <name val="Calibri"/>
      <family val="2"/>
      <scheme val="minor"/>
    </font>
    <font>
      <sz val="12"/>
      <color rgb="FFFF0000"/>
      <name val="Arial"/>
      <family val="2"/>
    </font>
    <font>
      <b/>
      <sz val="12"/>
      <color theme="0"/>
      <name val="Arial"/>
      <family val="2"/>
    </font>
    <font>
      <sz val="10"/>
      <name val="Geneva"/>
      <family val="2"/>
    </font>
    <font>
      <sz val="10"/>
      <name val="Rotis Sans Serif for Nokia"/>
    </font>
    <font>
      <sz val="11"/>
      <name val="Calibri"/>
      <family val="2"/>
      <scheme val="minor"/>
    </font>
    <font>
      <sz val="11"/>
      <name val="Geneva"/>
      <family val="2"/>
    </font>
    <font>
      <sz val="11"/>
      <name val="Rotis Sans Serif for Nokia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13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3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92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7" fillId="3" borderId="0" applyNumberFormat="0" applyBorder="0" applyAlignment="0" applyProtection="0"/>
    <xf numFmtId="0" fontId="21" fillId="0" borderId="0" applyNumberFormat="0" applyFill="0" applyBorder="0" applyAlignment="0" applyProtection="0"/>
    <xf numFmtId="0" fontId="5" fillId="20" borderId="1" applyNumberFormat="0" applyAlignment="0" applyProtection="0"/>
    <xf numFmtId="166" fontId="22" fillId="0" borderId="0"/>
    <xf numFmtId="166" fontId="22" fillId="0" borderId="0"/>
    <xf numFmtId="166" fontId="22" fillId="0" borderId="0"/>
    <xf numFmtId="166" fontId="22" fillId="0" borderId="0"/>
    <xf numFmtId="166" fontId="22" fillId="0" borderId="0"/>
    <xf numFmtId="166" fontId="22" fillId="0" borderId="0"/>
    <xf numFmtId="166" fontId="22" fillId="0" borderId="0"/>
    <xf numFmtId="166" fontId="22" fillId="0" borderId="0"/>
    <xf numFmtId="49" fontId="23" fillId="0" borderId="2">
      <alignment horizontal="center" vertical="center" wrapText="1"/>
      <protection locked="0"/>
    </xf>
    <xf numFmtId="49" fontId="24" fillId="21" borderId="3">
      <alignment horizontal="left" vertical="center"/>
      <protection locked="0"/>
    </xf>
    <xf numFmtId="49" fontId="24" fillId="10" borderId="3">
      <alignment horizontal="left" vertical="center"/>
      <protection locked="0"/>
    </xf>
    <xf numFmtId="49" fontId="23" fillId="22" borderId="2">
      <alignment horizontal="centerContinuous" vertical="center" wrapText="1"/>
      <protection locked="0"/>
    </xf>
    <xf numFmtId="49" fontId="23" fillId="22" borderId="2">
      <alignment horizontal="centerContinuous" vertical="center" wrapText="1"/>
      <protection locked="0"/>
    </xf>
    <xf numFmtId="49" fontId="23" fillId="23" borderId="2">
      <alignment horizontal="centerContinuous" vertical="center" wrapText="1"/>
      <protection locked="0"/>
    </xf>
    <xf numFmtId="49" fontId="25" fillId="21" borderId="2">
      <alignment horizontal="left" vertical="center"/>
      <protection locked="0"/>
    </xf>
    <xf numFmtId="49" fontId="25" fillId="10" borderId="2">
      <alignment horizontal="left" vertical="center"/>
      <protection locked="0"/>
    </xf>
    <xf numFmtId="0" fontId="26" fillId="24" borderId="4"/>
    <xf numFmtId="0" fontId="2" fillId="0" borderId="0"/>
    <xf numFmtId="0" fontId="17" fillId="0" borderId="0"/>
    <xf numFmtId="0" fontId="2" fillId="0" borderId="0"/>
    <xf numFmtId="167" fontId="17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9" fillId="0" borderId="0" applyNumberFormat="0" applyFill="0" applyBorder="0" applyAlignment="0" applyProtection="0"/>
    <xf numFmtId="38" fontId="26" fillId="25" borderId="0" applyNumberFormat="0" applyBorder="0" applyAlignment="0" applyProtection="0"/>
    <xf numFmtId="0" fontId="14" fillId="0" borderId="5" applyNumberFormat="0" applyAlignment="0" applyProtection="0">
      <alignment horizontal="left" vertical="center"/>
    </xf>
    <xf numFmtId="0" fontId="14" fillId="0" borderId="6">
      <alignment horizontal="left" vertical="center"/>
    </xf>
    <xf numFmtId="0" fontId="11" fillId="0" borderId="7" applyNumberFormat="0" applyFill="0" applyAlignment="0" applyProtection="0"/>
    <xf numFmtId="0" fontId="12" fillId="0" borderId="8" applyNumberFormat="0" applyFill="0" applyAlignment="0" applyProtection="0"/>
    <xf numFmtId="0" fontId="6" fillId="0" borderId="9" applyNumberFormat="0" applyFill="0" applyAlignment="0" applyProtection="0"/>
    <xf numFmtId="10" fontId="26" fillId="26" borderId="4" applyNumberFormat="0" applyBorder="0" applyAlignment="0" applyProtection="0"/>
    <xf numFmtId="37" fontId="27" fillId="0" borderId="0"/>
    <xf numFmtId="168" fontId="28" fillId="0" borderId="0"/>
    <xf numFmtId="0" fontId="2" fillId="0" borderId="0"/>
    <xf numFmtId="0" fontId="17" fillId="0" borderId="0"/>
    <xf numFmtId="0" fontId="3" fillId="0" borderId="0"/>
    <xf numFmtId="0" fontId="2" fillId="0" borderId="0"/>
    <xf numFmtId="0" fontId="2" fillId="0" borderId="0"/>
    <xf numFmtId="0" fontId="29" fillId="0" borderId="0"/>
    <xf numFmtId="0" fontId="8" fillId="20" borderId="10" applyNumberFormat="0" applyAlignment="0" applyProtection="0"/>
    <xf numFmtId="10" fontId="17" fillId="0" borderId="0" applyFont="0" applyFill="0" applyBorder="0" applyAlignment="0" applyProtection="0"/>
    <xf numFmtId="0" fontId="26" fillId="25" borderId="4"/>
    <xf numFmtId="0" fontId="3" fillId="0" borderId="0"/>
    <xf numFmtId="40" fontId="30" fillId="0" borderId="0"/>
    <xf numFmtId="0" fontId="10" fillId="0" borderId="0" applyNumberFormat="0" applyFill="0" applyBorder="0" applyAlignment="0" applyProtection="0"/>
    <xf numFmtId="0" fontId="31" fillId="0" borderId="0"/>
    <xf numFmtId="164" fontId="32" fillId="0" borderId="0" applyFont="0" applyFill="0" applyBorder="0" applyAlignment="0" applyProtection="0"/>
    <xf numFmtId="165" fontId="32" fillId="0" borderId="0" applyFont="0" applyFill="0" applyBorder="0" applyAlignment="0" applyProtection="0"/>
    <xf numFmtId="0" fontId="32" fillId="0" borderId="0"/>
    <xf numFmtId="169" fontId="32" fillId="0" borderId="0" applyFont="0" applyFill="0" applyBorder="0" applyAlignment="0" applyProtection="0"/>
    <xf numFmtId="170" fontId="32" fillId="0" borderId="0" applyFont="0" applyFill="0" applyBorder="0" applyAlignment="0" applyProtection="0"/>
    <xf numFmtId="0" fontId="2" fillId="0" borderId="0"/>
  </cellStyleXfs>
  <cellXfs count="203">
    <xf numFmtId="0" fontId="0" fillId="0" borderId="0" xfId="0"/>
    <xf numFmtId="0" fontId="36" fillId="30" borderId="0" xfId="0" applyFont="1" applyFill="1" applyBorder="1"/>
    <xf numFmtId="0" fontId="36" fillId="0" borderId="28" xfId="0" applyFont="1" applyFill="1" applyBorder="1"/>
    <xf numFmtId="0" fontId="36" fillId="30" borderId="28" xfId="0" applyFont="1" applyFill="1" applyBorder="1"/>
    <xf numFmtId="0" fontId="36" fillId="0" borderId="28" xfId="1" applyFont="1" applyFill="1" applyBorder="1"/>
    <xf numFmtId="0" fontId="36" fillId="30" borderId="0" xfId="0" applyFont="1" applyFill="1" applyBorder="1" applyAlignment="1">
      <alignment horizontal="left"/>
    </xf>
    <xf numFmtId="0" fontId="36" fillId="30" borderId="28" xfId="0" applyFont="1" applyFill="1" applyBorder="1" applyAlignment="1">
      <alignment horizontal="left"/>
    </xf>
    <xf numFmtId="0" fontId="34" fillId="0" borderId="0" xfId="4" applyFont="1" applyFill="1"/>
    <xf numFmtId="0" fontId="34" fillId="0" borderId="0" xfId="4" applyFont="1" applyFill="1" applyAlignment="1">
      <alignment horizontal="center"/>
    </xf>
    <xf numFmtId="0" fontId="3" fillId="0" borderId="0" xfId="4" applyFont="1" applyFill="1" applyBorder="1"/>
    <xf numFmtId="0" fontId="14" fillId="27" borderId="0" xfId="4" applyFont="1" applyFill="1" applyBorder="1" applyAlignment="1">
      <alignment horizontal="center" vertical="center"/>
    </xf>
    <xf numFmtId="0" fontId="2" fillId="0" borderId="0" xfId="4" applyFont="1" applyFill="1" applyBorder="1"/>
    <xf numFmtId="0" fontId="16" fillId="0" borderId="11" xfId="4" applyFont="1" applyBorder="1" applyAlignment="1">
      <alignment horizontal="center"/>
    </xf>
    <xf numFmtId="0" fontId="15" fillId="0" borderId="12" xfId="4" applyFont="1" applyBorder="1" applyAlignment="1">
      <alignment horizontal="center"/>
    </xf>
    <xf numFmtId="0" fontId="16" fillId="0" borderId="12" xfId="4" applyFont="1" applyFill="1" applyBorder="1" applyAlignment="1">
      <alignment horizontal="center" vertical="center" wrapText="1"/>
    </xf>
    <xf numFmtId="0" fontId="16" fillId="0" borderId="13" xfId="4" applyFont="1" applyFill="1" applyBorder="1" applyAlignment="1">
      <alignment horizontal="center" vertical="center" wrapText="1"/>
    </xf>
    <xf numFmtId="0" fontId="2" fillId="30" borderId="0" xfId="4" applyFont="1" applyFill="1" applyBorder="1" applyAlignment="1">
      <alignment horizontal="center"/>
    </xf>
    <xf numFmtId="0" fontId="18" fillId="30" borderId="0" xfId="74" applyFont="1" applyFill="1" applyBorder="1" applyAlignment="1">
      <alignment horizontal="center"/>
    </xf>
    <xf numFmtId="0" fontId="20" fillId="30" borderId="0" xfId="2" applyFont="1" applyFill="1" applyBorder="1" applyAlignment="1">
      <alignment horizontal="center"/>
    </xf>
    <xf numFmtId="0" fontId="19" fillId="0" borderId="14" xfId="4" applyFont="1" applyFill="1" applyBorder="1" applyAlignment="1">
      <alignment horizontal="left"/>
    </xf>
    <xf numFmtId="0" fontId="19" fillId="0" borderId="15" xfId="4" applyFont="1" applyFill="1" applyBorder="1"/>
    <xf numFmtId="0" fontId="19" fillId="0" borderId="16" xfId="4" applyFont="1" applyFill="1" applyBorder="1" applyAlignment="1">
      <alignment horizontal="left"/>
    </xf>
    <xf numFmtId="0" fontId="19" fillId="0" borderId="17" xfId="4" applyFont="1" applyFill="1" applyBorder="1" applyAlignment="1">
      <alignment horizontal="right"/>
    </xf>
    <xf numFmtId="49" fontId="19" fillId="0" borderId="18" xfId="4" applyNumberFormat="1" applyFont="1" applyBorder="1" applyAlignment="1">
      <alignment horizontal="left" vertical="center"/>
    </xf>
    <xf numFmtId="0" fontId="19" fillId="0" borderId="18" xfId="4" applyFont="1" applyFill="1" applyBorder="1" applyAlignment="1">
      <alignment horizontal="left"/>
    </xf>
    <xf numFmtId="0" fontId="19" fillId="0" borderId="13" xfId="4" applyFont="1" applyFill="1" applyBorder="1" applyAlignment="1">
      <alignment horizontal="right"/>
    </xf>
    <xf numFmtId="49" fontId="19" fillId="0" borderId="17" xfId="4" applyNumberFormat="1" applyFont="1" applyFill="1" applyBorder="1" applyAlignment="1">
      <alignment horizontal="right"/>
    </xf>
    <xf numFmtId="0" fontId="34" fillId="0" borderId="0" xfId="4" applyFont="1" applyFill="1"/>
    <xf numFmtId="14" fontId="35" fillId="0" borderId="0" xfId="4" applyNumberFormat="1" applyFont="1" applyFill="1"/>
    <xf numFmtId="0" fontId="19" fillId="0" borderId="15" xfId="4" applyFont="1" applyFill="1" applyBorder="1" applyAlignment="1">
      <alignment horizontal="right" vertical="center"/>
    </xf>
    <xf numFmtId="0" fontId="19" fillId="0" borderId="17" xfId="4" applyFont="1" applyFill="1" applyBorder="1" applyAlignment="1">
      <alignment horizontal="right" vertical="center"/>
    </xf>
    <xf numFmtId="3" fontId="19" fillId="0" borderId="13" xfId="4" applyNumberFormat="1" applyFont="1" applyFill="1" applyBorder="1" applyAlignment="1">
      <alignment horizontal="right" vertical="center"/>
    </xf>
    <xf numFmtId="0" fontId="37" fillId="30" borderId="14" xfId="4" applyFont="1" applyFill="1" applyBorder="1" applyAlignment="1">
      <alignment horizontal="center"/>
    </xf>
    <xf numFmtId="0" fontId="37" fillId="30" borderId="11" xfId="74" applyFont="1" applyFill="1" applyBorder="1" applyAlignment="1">
      <alignment horizontal="center"/>
    </xf>
    <xf numFmtId="0" fontId="37" fillId="0" borderId="11" xfId="75" applyFont="1" applyFill="1" applyBorder="1" applyAlignment="1">
      <alignment horizontal="center" vertical="center"/>
    </xf>
    <xf numFmtId="0" fontId="37" fillId="0" borderId="11" xfId="2" applyFont="1" applyFill="1" applyBorder="1" applyAlignment="1">
      <alignment horizontal="center"/>
    </xf>
    <xf numFmtId="0" fontId="37" fillId="30" borderId="11" xfId="2" applyFont="1" applyFill="1" applyBorder="1" applyAlignment="1">
      <alignment horizontal="center"/>
    </xf>
    <xf numFmtId="0" fontId="37" fillId="0" borderId="11" xfId="75" applyFont="1" applyFill="1" applyBorder="1" applyAlignment="1">
      <alignment horizontal="center" vertical="center" wrapText="1"/>
    </xf>
    <xf numFmtId="0" fontId="37" fillId="30" borderId="15" xfId="74" applyFont="1" applyFill="1" applyBorder="1" applyAlignment="1">
      <alignment horizontal="center"/>
    </xf>
    <xf numFmtId="0" fontId="37" fillId="30" borderId="16" xfId="4" applyFont="1" applyFill="1" applyBorder="1" applyAlignment="1">
      <alignment horizontal="center"/>
    </xf>
    <xf numFmtId="0" fontId="37" fillId="30" borderId="4" xfId="74" applyFont="1" applyFill="1" applyBorder="1" applyAlignment="1">
      <alignment horizontal="center"/>
    </xf>
    <xf numFmtId="0" fontId="37" fillId="0" borderId="4" xfId="75" applyFont="1" applyFill="1" applyBorder="1" applyAlignment="1">
      <alignment horizontal="center" vertical="center"/>
    </xf>
    <xf numFmtId="0" fontId="37" fillId="0" borderId="4" xfId="2" applyFont="1" applyFill="1" applyBorder="1" applyAlignment="1">
      <alignment horizontal="center"/>
    </xf>
    <xf numFmtId="0" fontId="37" fillId="30" borderId="4" xfId="2" applyFont="1" applyFill="1" applyBorder="1" applyAlignment="1">
      <alignment horizontal="center"/>
    </xf>
    <xf numFmtId="0" fontId="37" fillId="0" borderId="4" xfId="75" applyFont="1" applyFill="1" applyBorder="1" applyAlignment="1">
      <alignment horizontal="center" vertical="center" wrapText="1"/>
    </xf>
    <xf numFmtId="0" fontId="37" fillId="30" borderId="17" xfId="74" applyFont="1" applyFill="1" applyBorder="1" applyAlignment="1">
      <alignment horizontal="center"/>
    </xf>
    <xf numFmtId="0" fontId="37" fillId="30" borderId="16" xfId="4" applyFont="1" applyFill="1" applyBorder="1" applyAlignment="1" applyProtection="1">
      <alignment horizontal="center"/>
    </xf>
    <xf numFmtId="0" fontId="37" fillId="30" borderId="4" xfId="74" applyFont="1" applyFill="1" applyBorder="1" applyAlignment="1" applyProtection="1">
      <alignment horizontal="center"/>
    </xf>
    <xf numFmtId="0" fontId="37" fillId="30" borderId="17" xfId="74" applyFont="1" applyFill="1" applyBorder="1" applyAlignment="1" applyProtection="1">
      <alignment horizontal="center"/>
    </xf>
    <xf numFmtId="0" fontId="37" fillId="30" borderId="18" xfId="4" applyFont="1" applyFill="1" applyBorder="1" applyAlignment="1">
      <alignment horizontal="center"/>
    </xf>
    <xf numFmtId="0" fontId="37" fillId="30" borderId="12" xfId="74" applyFont="1" applyFill="1" applyBorder="1" applyAlignment="1">
      <alignment horizontal="center"/>
    </xf>
    <xf numFmtId="0" fontId="37" fillId="0" borderId="12" xfId="75" applyFont="1" applyFill="1" applyBorder="1" applyAlignment="1">
      <alignment horizontal="center" vertical="center"/>
    </xf>
    <xf numFmtId="0" fontId="37" fillId="0" borderId="12" xfId="2" applyFont="1" applyFill="1" applyBorder="1" applyAlignment="1">
      <alignment horizontal="center"/>
    </xf>
    <xf numFmtId="0" fontId="37" fillId="30" borderId="12" xfId="2" applyFont="1" applyFill="1" applyBorder="1" applyAlignment="1">
      <alignment horizontal="center"/>
    </xf>
    <xf numFmtId="0" fontId="37" fillId="0" borderId="12" xfId="75" applyFont="1" applyFill="1" applyBorder="1" applyAlignment="1">
      <alignment horizontal="center" vertical="center" wrapText="1"/>
    </xf>
    <xf numFmtId="0" fontId="37" fillId="30" borderId="13" xfId="74" applyFont="1" applyFill="1" applyBorder="1" applyAlignment="1">
      <alignment horizontal="center"/>
    </xf>
    <xf numFmtId="0" fontId="38" fillId="0" borderId="0" xfId="2" applyNumberFormat="1" applyFont="1" applyFill="1" applyBorder="1" applyAlignment="1">
      <alignment horizontal="center" vertical="center"/>
    </xf>
    <xf numFmtId="0" fontId="39" fillId="0" borderId="0" xfId="2" applyNumberFormat="1" applyFont="1" applyFill="1" applyBorder="1" applyAlignment="1">
      <alignment horizontal="center" vertical="center"/>
    </xf>
    <xf numFmtId="0" fontId="38" fillId="0" borderId="0" xfId="2" quotePrefix="1" applyNumberFormat="1" applyFont="1" applyFill="1" applyBorder="1" applyAlignment="1">
      <alignment horizontal="center" vertical="center"/>
    </xf>
    <xf numFmtId="0" fontId="38" fillId="0" borderId="0" xfId="2" applyNumberFormat="1" applyFont="1" applyBorder="1" applyAlignment="1">
      <alignment horizontal="center" vertical="center"/>
    </xf>
    <xf numFmtId="0" fontId="34" fillId="0" borderId="0" xfId="4" applyFont="1" applyFill="1"/>
    <xf numFmtId="0" fontId="34" fillId="0" borderId="0" xfId="4" applyFont="1" applyFill="1"/>
    <xf numFmtId="0" fontId="2" fillId="0" borderId="4" xfId="2" applyNumberFormat="1" applyFont="1" applyFill="1" applyBorder="1" applyAlignment="1" applyProtection="1">
      <alignment horizontal="center" vertical="center"/>
    </xf>
    <xf numFmtId="0" fontId="2" fillId="0" borderId="4" xfId="2" quotePrefix="1" applyNumberFormat="1" applyFont="1" applyFill="1" applyBorder="1" applyAlignment="1" applyProtection="1">
      <alignment horizontal="center" vertical="center"/>
    </xf>
    <xf numFmtId="0" fontId="2" fillId="0" borderId="4" xfId="2" applyNumberFormat="1" applyFont="1" applyBorder="1" applyAlignment="1" applyProtection="1">
      <alignment horizontal="center" vertical="center"/>
    </xf>
    <xf numFmtId="49" fontId="2" fillId="0" borderId="4" xfId="2" applyNumberFormat="1" applyFont="1" applyFill="1" applyBorder="1" applyAlignment="1" applyProtection="1">
      <alignment horizontal="center" vertical="center"/>
    </xf>
    <xf numFmtId="0" fontId="2" fillId="0" borderId="4" xfId="6" applyFont="1" applyFill="1" applyBorder="1" applyAlignment="1">
      <alignment horizontal="center" vertical="center"/>
    </xf>
    <xf numFmtId="49" fontId="2" fillId="0" borderId="4" xfId="6" applyNumberFormat="1" applyFont="1" applyFill="1" applyBorder="1" applyAlignment="1">
      <alignment horizontal="center" vertical="center"/>
    </xf>
    <xf numFmtId="0" fontId="2" fillId="0" borderId="4" xfId="6" applyNumberFormat="1" applyFont="1" applyFill="1" applyBorder="1" applyAlignment="1">
      <alignment horizontal="center" vertical="center"/>
    </xf>
    <xf numFmtId="0" fontId="15" fillId="0" borderId="4" xfId="6" applyFont="1" applyFill="1" applyBorder="1" applyAlignment="1">
      <alignment horizontal="center" vertical="center"/>
    </xf>
    <xf numFmtId="3" fontId="2" fillId="0" borderId="4" xfId="6" applyNumberFormat="1" applyFont="1" applyFill="1" applyBorder="1" applyAlignment="1">
      <alignment horizontal="center" vertical="center"/>
    </xf>
    <xf numFmtId="0" fontId="2" fillId="0" borderId="4" xfId="6" quotePrefix="1" applyFont="1" applyFill="1" applyBorder="1" applyAlignment="1">
      <alignment horizontal="center" vertical="center"/>
    </xf>
    <xf numFmtId="0" fontId="2" fillId="0" borderId="4" xfId="6" applyFont="1" applyBorder="1" applyAlignment="1">
      <alignment horizontal="center" vertical="center"/>
    </xf>
    <xf numFmtId="0" fontId="33" fillId="28" borderId="4" xfId="77" applyFont="1" applyFill="1" applyBorder="1" applyAlignment="1">
      <alignment horizontal="center" vertical="center" wrapText="1"/>
    </xf>
    <xf numFmtId="0" fontId="40" fillId="30" borderId="0" xfId="0" applyFont="1" applyFill="1" applyBorder="1" applyAlignment="1">
      <alignment wrapText="1"/>
    </xf>
    <xf numFmtId="49" fontId="33" fillId="28" borderId="4" xfId="77" applyNumberFormat="1" applyFont="1" applyFill="1" applyBorder="1" applyAlignment="1">
      <alignment horizontal="center" vertical="center" wrapText="1"/>
    </xf>
    <xf numFmtId="0" fontId="33" fillId="28" borderId="19" xfId="77" applyFont="1" applyFill="1" applyBorder="1" applyAlignment="1">
      <alignment vertical="center" wrapText="1"/>
    </xf>
    <xf numFmtId="14" fontId="41" fillId="30" borderId="0" xfId="0" applyNumberFormat="1" applyFont="1" applyFill="1" applyBorder="1"/>
    <xf numFmtId="49" fontId="19" fillId="0" borderId="4" xfId="91" applyNumberFormat="1" applyFont="1" applyBorder="1" applyAlignment="1">
      <alignment horizontal="left" vertical="center"/>
    </xf>
    <xf numFmtId="0" fontId="2" fillId="28" borderId="4" xfId="76" applyFont="1" applyFill="1" applyBorder="1" applyAlignment="1">
      <alignment horizontal="center" vertical="center" wrapText="1"/>
    </xf>
    <xf numFmtId="49" fontId="2" fillId="28" borderId="4" xfId="76" applyNumberFormat="1" applyFont="1" applyFill="1" applyBorder="1" applyAlignment="1">
      <alignment horizontal="center" vertical="center" wrapText="1"/>
    </xf>
    <xf numFmtId="0" fontId="2" fillId="28" borderId="19" xfId="76" applyFont="1" applyFill="1" applyBorder="1" applyAlignment="1">
      <alignment vertical="center" wrapText="1"/>
    </xf>
    <xf numFmtId="0" fontId="2" fillId="28" borderId="19" xfId="76" applyFont="1" applyFill="1" applyBorder="1" applyAlignment="1">
      <alignment horizontal="center" vertical="center" wrapText="1"/>
    </xf>
    <xf numFmtId="0" fontId="43" fillId="27" borderId="0" xfId="4" applyFont="1" applyFill="1" applyBorder="1" applyAlignment="1">
      <alignment horizontal="center" vertical="center"/>
    </xf>
    <xf numFmtId="0" fontId="3" fillId="0" borderId="19" xfId="91" applyFont="1" applyFill="1" applyBorder="1" applyAlignment="1">
      <alignment horizontal="center" vertical="center" wrapText="1"/>
    </xf>
    <xf numFmtId="0" fontId="2" fillId="0" borderId="4" xfId="0" applyNumberFormat="1" applyFont="1" applyFill="1" applyBorder="1" applyAlignment="1">
      <alignment horizontal="center" vertical="center"/>
    </xf>
    <xf numFmtId="0" fontId="46" fillId="0" borderId="17" xfId="0" applyNumberFormat="1" applyFont="1" applyFill="1" applyBorder="1" applyAlignment="1">
      <alignment horizontal="center" vertical="center"/>
    </xf>
    <xf numFmtId="0" fontId="3" fillId="0" borderId="31" xfId="91" applyFont="1" applyFill="1" applyBorder="1" applyAlignment="1">
      <alignment horizontal="center" vertical="center" wrapText="1"/>
    </xf>
    <xf numFmtId="0" fontId="2" fillId="0" borderId="16" xfId="2" applyNumberFormat="1" applyFont="1" applyFill="1" applyBorder="1" applyAlignment="1" applyProtection="1">
      <alignment horizontal="center" vertical="center"/>
    </xf>
    <xf numFmtId="0" fontId="2" fillId="0" borderId="17" xfId="2" applyNumberFormat="1" applyFont="1" applyFill="1" applyBorder="1" applyAlignment="1" applyProtection="1">
      <alignment horizontal="center" vertical="center"/>
    </xf>
    <xf numFmtId="0" fontId="2" fillId="0" borderId="18" xfId="2" applyNumberFormat="1" applyFont="1" applyFill="1" applyBorder="1" applyAlignment="1" applyProtection="1">
      <alignment horizontal="center" vertical="center"/>
    </xf>
    <xf numFmtId="0" fontId="2" fillId="0" borderId="12" xfId="2" applyNumberFormat="1" applyFont="1" applyFill="1" applyBorder="1" applyAlignment="1" applyProtection="1">
      <alignment horizontal="center" vertical="center"/>
    </xf>
    <xf numFmtId="0" fontId="2" fillId="0" borderId="12" xfId="2" quotePrefix="1" applyNumberFormat="1" applyFont="1" applyFill="1" applyBorder="1" applyAlignment="1" applyProtection="1">
      <alignment horizontal="center" vertical="center"/>
    </xf>
    <xf numFmtId="0" fontId="2" fillId="0" borderId="13" xfId="2" applyNumberFormat="1" applyFont="1" applyFill="1" applyBorder="1" applyAlignment="1" applyProtection="1">
      <alignment horizontal="center" vertical="center"/>
    </xf>
    <xf numFmtId="0" fontId="2" fillId="0" borderId="25" xfId="0" applyNumberFormat="1" applyFont="1" applyFill="1" applyBorder="1" applyAlignment="1">
      <alignment horizontal="center" vertical="center"/>
    </xf>
    <xf numFmtId="0" fontId="15" fillId="31" borderId="12" xfId="91" applyFont="1" applyFill="1" applyBorder="1" applyAlignment="1">
      <alignment horizontal="center" vertical="center"/>
    </xf>
    <xf numFmtId="0" fontId="16" fillId="31" borderId="12" xfId="91" applyFont="1" applyFill="1" applyBorder="1" applyAlignment="1">
      <alignment horizontal="center" vertical="center" wrapText="1"/>
    </xf>
    <xf numFmtId="0" fontId="16" fillId="31" borderId="13" xfId="91" applyFont="1" applyFill="1" applyBorder="1" applyAlignment="1">
      <alignment horizontal="center" vertical="center" wrapText="1"/>
    </xf>
    <xf numFmtId="14" fontId="43" fillId="27" borderId="0" xfId="4" applyNumberFormat="1" applyFont="1" applyFill="1" applyBorder="1" applyAlignment="1">
      <alignment horizontal="center" vertical="center"/>
    </xf>
    <xf numFmtId="0" fontId="34" fillId="0" borderId="0" xfId="4" applyFont="1" applyFill="1" applyAlignment="1">
      <alignment horizontal="center" vertical="center"/>
    </xf>
    <xf numFmtId="0" fontId="19" fillId="0" borderId="4" xfId="91" applyFont="1" applyFill="1" applyBorder="1" applyAlignment="1">
      <alignment horizontal="left" vertical="center"/>
    </xf>
    <xf numFmtId="0" fontId="2" fillId="0" borderId="32" xfId="91" applyNumberFormat="1" applyFont="1" applyFill="1" applyBorder="1" applyAlignment="1">
      <alignment horizontal="center" vertical="center"/>
    </xf>
    <xf numFmtId="0" fontId="44" fillId="0" borderId="25" xfId="0" applyNumberFormat="1" applyFont="1" applyFill="1" applyBorder="1" applyAlignment="1">
      <alignment horizontal="center" vertical="center"/>
    </xf>
    <xf numFmtId="0" fontId="45" fillId="0" borderId="25" xfId="2" applyNumberFormat="1" applyFont="1" applyFill="1" applyBorder="1" applyAlignment="1">
      <alignment horizontal="center" vertical="center"/>
    </xf>
    <xf numFmtId="0" fontId="2" fillId="0" borderId="16" xfId="91" applyNumberFormat="1" applyFont="1" applyFill="1" applyBorder="1" applyAlignment="1">
      <alignment horizontal="center" vertical="center"/>
    </xf>
    <xf numFmtId="0" fontId="44" fillId="0" borderId="4" xfId="0" applyNumberFormat="1" applyFont="1" applyFill="1" applyBorder="1" applyAlignment="1">
      <alignment horizontal="center" vertical="center"/>
    </xf>
    <xf numFmtId="0" fontId="45" fillId="0" borderId="4" xfId="2" applyNumberFormat="1" applyFont="1" applyFill="1" applyBorder="1" applyAlignment="1">
      <alignment horizontal="center" vertical="center"/>
    </xf>
    <xf numFmtId="0" fontId="2" fillId="0" borderId="29" xfId="91" applyFont="1" applyFill="1" applyBorder="1" applyAlignment="1">
      <alignment horizontal="center" vertical="center"/>
    </xf>
    <xf numFmtId="0" fontId="2" fillId="0" borderId="19" xfId="91" applyFont="1" applyFill="1" applyBorder="1" applyAlignment="1">
      <alignment horizontal="center" vertical="center"/>
    </xf>
    <xf numFmtId="0" fontId="2" fillId="0" borderId="4" xfId="91" applyFont="1" applyFill="1" applyBorder="1" applyAlignment="1">
      <alignment horizontal="center" vertical="center"/>
    </xf>
    <xf numFmtId="0" fontId="46" fillId="0" borderId="0" xfId="4" applyFont="1" applyFill="1" applyAlignment="1">
      <alignment horizontal="center" vertical="center"/>
    </xf>
    <xf numFmtId="0" fontId="3" fillId="0" borderId="0" xfId="4" applyFont="1" applyFill="1" applyBorder="1" applyAlignment="1">
      <alignment horizontal="center" vertical="center"/>
    </xf>
    <xf numFmtId="0" fontId="2" fillId="0" borderId="0" xfId="4" applyFont="1" applyFill="1" applyBorder="1" applyAlignment="1">
      <alignment horizontal="center" vertical="center"/>
    </xf>
    <xf numFmtId="0" fontId="2" fillId="0" borderId="25" xfId="0" quotePrefix="1" applyNumberFormat="1" applyFont="1" applyFill="1" applyBorder="1" applyAlignment="1">
      <alignment horizontal="center" vertical="center"/>
    </xf>
    <xf numFmtId="0" fontId="2" fillId="0" borderId="4" xfId="0" quotePrefix="1" applyNumberFormat="1" applyFont="1" applyFill="1" applyBorder="1" applyAlignment="1">
      <alignment horizontal="center" vertical="center"/>
    </xf>
    <xf numFmtId="0" fontId="2" fillId="0" borderId="12" xfId="0" quotePrefix="1" applyNumberFormat="1" applyFont="1" applyFill="1" applyBorder="1" applyAlignment="1">
      <alignment horizontal="center" vertical="center"/>
    </xf>
    <xf numFmtId="3" fontId="19" fillId="0" borderId="4" xfId="91" applyNumberFormat="1" applyFont="1" applyFill="1" applyBorder="1" applyAlignment="1">
      <alignment horizontal="left" vertical="center"/>
    </xf>
    <xf numFmtId="0" fontId="0" fillId="0" borderId="0" xfId="4" applyFont="1" applyFill="1" applyAlignment="1">
      <alignment horizontal="left"/>
    </xf>
    <xf numFmtId="0" fontId="34" fillId="0" borderId="0" xfId="4" applyFont="1" applyFill="1" applyAlignment="1">
      <alignment horizontal="left"/>
    </xf>
    <xf numFmtId="0" fontId="46" fillId="0" borderId="4" xfId="0" applyNumberFormat="1" applyFont="1" applyFill="1" applyBorder="1" applyAlignment="1">
      <alignment horizontal="center" vertical="center"/>
    </xf>
    <xf numFmtId="0" fontId="46" fillId="0" borderId="11" xfId="0" applyNumberFormat="1" applyFont="1" applyFill="1" applyBorder="1" applyAlignment="1">
      <alignment horizontal="center" vertical="center"/>
    </xf>
    <xf numFmtId="0" fontId="46" fillId="0" borderId="15" xfId="0" applyNumberFormat="1" applyFont="1" applyFill="1" applyBorder="1" applyAlignment="1">
      <alignment horizontal="center" vertical="center"/>
    </xf>
    <xf numFmtId="0" fontId="3" fillId="0" borderId="4" xfId="91" applyFont="1" applyFill="1" applyBorder="1" applyAlignment="1">
      <alignment horizontal="center" vertical="center"/>
    </xf>
    <xf numFmtId="0" fontId="3" fillId="0" borderId="17" xfId="91" applyFont="1" applyFill="1" applyBorder="1" applyAlignment="1">
      <alignment horizontal="center" vertical="center"/>
    </xf>
    <xf numFmtId="0" fontId="16" fillId="31" borderId="33" xfId="2" applyFont="1" applyFill="1" applyBorder="1" applyAlignment="1">
      <alignment horizontal="center" vertical="center"/>
    </xf>
    <xf numFmtId="0" fontId="16" fillId="31" borderId="34" xfId="2" applyFont="1" applyFill="1" applyBorder="1" applyAlignment="1">
      <alignment horizontal="center" vertical="center"/>
    </xf>
    <xf numFmtId="0" fontId="16" fillId="31" borderId="35" xfId="2" applyFont="1" applyFill="1" applyBorder="1" applyAlignment="1">
      <alignment horizontal="center" vertical="center"/>
    </xf>
    <xf numFmtId="14" fontId="35" fillId="0" borderId="0" xfId="0" applyNumberFormat="1" applyFont="1" applyAlignment="1"/>
    <xf numFmtId="0" fontId="34" fillId="0" borderId="0" xfId="0" applyFont="1" applyAlignment="1"/>
    <xf numFmtId="0" fontId="46" fillId="0" borderId="28" xfId="0" applyFont="1" applyFill="1" applyBorder="1"/>
    <xf numFmtId="0" fontId="46" fillId="0" borderId="28" xfId="1" applyFont="1" applyFill="1" applyBorder="1"/>
    <xf numFmtId="0" fontId="3" fillId="0" borderId="0" xfId="0" applyFont="1" applyAlignment="1"/>
    <xf numFmtId="0" fontId="3" fillId="0" borderId="14" xfId="91" applyNumberFormat="1" applyFont="1" applyFill="1" applyBorder="1" applyAlignment="1">
      <alignment horizontal="center" vertical="center"/>
    </xf>
    <xf numFmtId="0" fontId="3" fillId="0" borderId="11" xfId="0" applyNumberFormat="1" applyFont="1" applyFill="1" applyBorder="1" applyAlignment="1">
      <alignment horizontal="center" vertical="center"/>
    </xf>
    <xf numFmtId="0" fontId="3" fillId="0" borderId="11" xfId="0" quotePrefix="1" applyNumberFormat="1" applyFont="1" applyFill="1" applyBorder="1" applyAlignment="1">
      <alignment horizontal="center" vertical="center"/>
    </xf>
    <xf numFmtId="0" fontId="47" fillId="0" borderId="11" xfId="0" applyNumberFormat="1" applyFont="1" applyFill="1" applyBorder="1" applyAlignment="1">
      <alignment horizontal="center" vertical="center"/>
    </xf>
    <xf numFmtId="0" fontId="48" fillId="0" borderId="11" xfId="2" applyNumberFormat="1" applyFont="1" applyFill="1" applyBorder="1" applyAlignment="1">
      <alignment horizontal="center" vertical="center"/>
    </xf>
    <xf numFmtId="0" fontId="3" fillId="0" borderId="16" xfId="91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3" fillId="0" borderId="4" xfId="0" quotePrefix="1" applyNumberFormat="1" applyFont="1" applyFill="1" applyBorder="1" applyAlignment="1">
      <alignment horizontal="center" vertical="center"/>
    </xf>
    <xf numFmtId="0" fontId="47" fillId="0" borderId="4" xfId="0" applyNumberFormat="1" applyFont="1" applyFill="1" applyBorder="1" applyAlignment="1">
      <alignment horizontal="center" vertical="center"/>
    </xf>
    <xf numFmtId="0" fontId="48" fillId="0" borderId="4" xfId="2" applyNumberFormat="1" applyFont="1" applyFill="1" applyBorder="1" applyAlignment="1">
      <alignment horizontal="center" vertical="center"/>
    </xf>
    <xf numFmtId="0" fontId="3" fillId="0" borderId="16" xfId="91" applyFont="1" applyFill="1" applyBorder="1" applyAlignment="1">
      <alignment horizontal="center" vertical="center"/>
    </xf>
    <xf numFmtId="0" fontId="3" fillId="0" borderId="16" xfId="2" applyNumberFormat="1" applyFont="1" applyFill="1" applyBorder="1" applyAlignment="1" applyProtection="1">
      <alignment horizontal="center" vertical="center"/>
    </xf>
    <xf numFmtId="0" fontId="3" fillId="0" borderId="4" xfId="2" applyNumberFormat="1" applyFont="1" applyFill="1" applyBorder="1" applyAlignment="1" applyProtection="1">
      <alignment horizontal="center" vertical="center"/>
    </xf>
    <xf numFmtId="49" fontId="3" fillId="0" borderId="4" xfId="2" applyNumberFormat="1" applyFont="1" applyFill="1" applyBorder="1" applyAlignment="1" applyProtection="1">
      <alignment horizontal="center" vertical="center"/>
    </xf>
    <xf numFmtId="0" fontId="3" fillId="0" borderId="4" xfId="2" quotePrefix="1" applyNumberFormat="1" applyFont="1" applyFill="1" applyBorder="1" applyAlignment="1" applyProtection="1">
      <alignment horizontal="center" vertical="center"/>
    </xf>
    <xf numFmtId="0" fontId="3" fillId="0" borderId="17" xfId="2" applyNumberFormat="1" applyFont="1" applyFill="1" applyBorder="1" applyAlignment="1" applyProtection="1">
      <alignment horizontal="center" vertical="center"/>
    </xf>
    <xf numFmtId="0" fontId="3" fillId="0" borderId="18" xfId="2" applyNumberFormat="1" applyFont="1" applyFill="1" applyBorder="1" applyAlignment="1" applyProtection="1">
      <alignment horizontal="center" vertical="center"/>
    </xf>
    <xf numFmtId="0" fontId="3" fillId="0" borderId="12" xfId="2" applyNumberFormat="1" applyFont="1" applyFill="1" applyBorder="1" applyAlignment="1" applyProtection="1">
      <alignment horizontal="center" vertical="center"/>
    </xf>
    <xf numFmtId="0" fontId="3" fillId="0" borderId="12" xfId="0" quotePrefix="1" applyNumberFormat="1" applyFont="1" applyFill="1" applyBorder="1" applyAlignment="1">
      <alignment horizontal="center" vertical="center"/>
    </xf>
    <xf numFmtId="0" fontId="3" fillId="0" borderId="12" xfId="2" quotePrefix="1" applyNumberFormat="1" applyFont="1" applyFill="1" applyBorder="1" applyAlignment="1" applyProtection="1">
      <alignment horizontal="center" vertical="center"/>
    </xf>
    <xf numFmtId="0" fontId="3" fillId="0" borderId="13" xfId="2" applyNumberFormat="1" applyFont="1" applyFill="1" applyBorder="1" applyAlignment="1" applyProtection="1">
      <alignment horizontal="center" vertical="center"/>
    </xf>
    <xf numFmtId="0" fontId="2" fillId="0" borderId="16" xfId="91" applyNumberFormat="1" applyFont="1" applyFill="1" applyBorder="1" applyAlignment="1" applyProtection="1">
      <alignment horizontal="center" vertical="center"/>
    </xf>
    <xf numFmtId="0" fontId="44" fillId="0" borderId="25" xfId="0" applyNumberFormat="1" applyFont="1" applyFill="1" applyBorder="1" applyAlignment="1" applyProtection="1">
      <alignment horizontal="center" vertical="center"/>
    </xf>
    <xf numFmtId="0" fontId="2" fillId="0" borderId="25" xfId="0" applyNumberFormat="1" applyFont="1" applyFill="1" applyBorder="1" applyAlignment="1" applyProtection="1">
      <alignment horizontal="center" vertical="center"/>
    </xf>
    <xf numFmtId="0" fontId="2" fillId="0" borderId="4" xfId="0" applyNumberFormat="1" applyFont="1" applyFill="1" applyBorder="1" applyAlignment="1" applyProtection="1">
      <alignment horizontal="center" vertical="center"/>
    </xf>
    <xf numFmtId="0" fontId="3" fillId="0" borderId="4" xfId="0" applyNumberFormat="1" applyFont="1" applyFill="1" applyBorder="1" applyAlignment="1" applyProtection="1">
      <alignment horizontal="center" vertical="center"/>
    </xf>
    <xf numFmtId="0" fontId="2" fillId="0" borderId="25" xfId="0" quotePrefix="1" applyNumberFormat="1" applyFont="1" applyFill="1" applyBorder="1" applyAlignment="1" applyProtection="1">
      <alignment horizontal="center" vertical="center"/>
    </xf>
    <xf numFmtId="0" fontId="44" fillId="0" borderId="4" xfId="0" applyNumberFormat="1" applyFont="1" applyFill="1" applyBorder="1" applyAlignment="1" applyProtection="1">
      <alignment horizontal="center" vertical="center"/>
    </xf>
    <xf numFmtId="0" fontId="2" fillId="0" borderId="19" xfId="91" applyFont="1" applyFill="1" applyBorder="1" applyAlignment="1" applyProtection="1">
      <alignment horizontal="center" vertical="center"/>
    </xf>
    <xf numFmtId="0" fontId="2" fillId="0" borderId="4" xfId="91" applyFont="1" applyFill="1" applyBorder="1" applyAlignment="1" applyProtection="1">
      <alignment horizontal="center" vertical="center"/>
    </xf>
    <xf numFmtId="0" fontId="46" fillId="0" borderId="17" xfId="0" applyNumberFormat="1" applyFont="1" applyFill="1" applyBorder="1" applyAlignment="1" applyProtection="1">
      <alignment horizontal="center" vertical="center"/>
    </xf>
    <xf numFmtId="0" fontId="3" fillId="0" borderId="4" xfId="91" applyFont="1" applyFill="1" applyBorder="1" applyAlignment="1" applyProtection="1">
      <alignment horizontal="center" vertical="center"/>
    </xf>
    <xf numFmtId="0" fontId="33" fillId="28" borderId="26" xfId="77" applyFont="1" applyFill="1" applyBorder="1" applyAlignment="1">
      <alignment horizontal="center" vertical="center" wrapText="1"/>
    </xf>
    <xf numFmtId="0" fontId="33" fillId="28" borderId="6" xfId="77" applyFont="1" applyFill="1" applyBorder="1" applyAlignment="1">
      <alignment horizontal="center" vertical="center" wrapText="1"/>
    </xf>
    <xf numFmtId="0" fontId="33" fillId="28" borderId="27" xfId="77" applyFont="1" applyFill="1" applyBorder="1" applyAlignment="1">
      <alignment horizontal="center" vertical="center" wrapText="1"/>
    </xf>
    <xf numFmtId="0" fontId="33" fillId="28" borderId="4" xfId="77" applyFont="1" applyFill="1" applyBorder="1" applyAlignment="1">
      <alignment horizontal="center" vertical="center" wrapText="1"/>
    </xf>
    <xf numFmtId="0" fontId="15" fillId="27" borderId="20" xfId="4" applyFont="1" applyFill="1" applyBorder="1" applyAlignment="1">
      <alignment horizontal="center" vertical="center"/>
    </xf>
    <xf numFmtId="0" fontId="15" fillId="27" borderId="5" xfId="4" applyFont="1" applyFill="1" applyBorder="1" applyAlignment="1">
      <alignment horizontal="center" vertical="center"/>
    </xf>
    <xf numFmtId="0" fontId="15" fillId="27" borderId="21" xfId="4" applyFont="1" applyFill="1" applyBorder="1" applyAlignment="1">
      <alignment horizontal="center" vertical="center"/>
    </xf>
    <xf numFmtId="0" fontId="16" fillId="29" borderId="26" xfId="6" applyFont="1" applyFill="1" applyBorder="1" applyAlignment="1">
      <alignment horizontal="center"/>
    </xf>
    <xf numFmtId="0" fontId="16" fillId="29" borderId="6" xfId="6" applyFont="1" applyFill="1" applyBorder="1" applyAlignment="1">
      <alignment horizontal="center"/>
    </xf>
    <xf numFmtId="0" fontId="16" fillId="29" borderId="27" xfId="6" applyFont="1" applyFill="1" applyBorder="1" applyAlignment="1">
      <alignment horizontal="center"/>
    </xf>
    <xf numFmtId="0" fontId="13" fillId="27" borderId="20" xfId="4" applyFont="1" applyFill="1" applyBorder="1" applyAlignment="1">
      <alignment horizontal="center" vertical="center"/>
    </xf>
    <xf numFmtId="0" fontId="13" fillId="27" borderId="5" xfId="4" applyFont="1" applyFill="1" applyBorder="1" applyAlignment="1">
      <alignment horizontal="center" vertical="center"/>
    </xf>
    <xf numFmtId="0" fontId="13" fillId="27" borderId="21" xfId="4" applyFont="1" applyFill="1" applyBorder="1" applyAlignment="1">
      <alignment horizontal="center" vertical="center"/>
    </xf>
    <xf numFmtId="0" fontId="2" fillId="0" borderId="14" xfId="4" applyFont="1" applyBorder="1" applyAlignment="1">
      <alignment horizontal="center"/>
    </xf>
    <xf numFmtId="0" fontId="2" fillId="0" borderId="18" xfId="4" applyFont="1" applyBorder="1" applyAlignment="1">
      <alignment horizontal="center"/>
    </xf>
    <xf numFmtId="0" fontId="15" fillId="0" borderId="11" xfId="4" applyFont="1" applyBorder="1" applyAlignment="1">
      <alignment horizontal="center"/>
    </xf>
    <xf numFmtId="0" fontId="15" fillId="0" borderId="12" xfId="4" applyFont="1" applyBorder="1" applyAlignment="1">
      <alignment horizontal="center"/>
    </xf>
    <xf numFmtId="0" fontId="16" fillId="0" borderId="11" xfId="4" applyFont="1" applyBorder="1" applyAlignment="1">
      <alignment horizontal="center"/>
    </xf>
    <xf numFmtId="0" fontId="16" fillId="0" borderId="22" xfId="4" applyFont="1" applyBorder="1" applyAlignment="1">
      <alignment horizontal="center"/>
    </xf>
    <xf numFmtId="0" fontId="16" fillId="0" borderId="23" xfId="4" applyFont="1" applyBorder="1" applyAlignment="1">
      <alignment horizontal="center"/>
    </xf>
    <xf numFmtId="0" fontId="16" fillId="0" borderId="24" xfId="4" applyFont="1" applyBorder="1" applyAlignment="1">
      <alignment horizontal="center"/>
    </xf>
    <xf numFmtId="0" fontId="2" fillId="28" borderId="4" xfId="76" applyFont="1" applyFill="1" applyBorder="1" applyAlignment="1">
      <alignment horizontal="center" vertical="center" wrapText="1"/>
    </xf>
    <xf numFmtId="0" fontId="2" fillId="28" borderId="19" xfId="76" applyFont="1" applyFill="1" applyBorder="1" applyAlignment="1">
      <alignment horizontal="center" vertical="center" wrapText="1"/>
    </xf>
    <xf numFmtId="0" fontId="2" fillId="28" borderId="25" xfId="76" applyFont="1" applyFill="1" applyBorder="1" applyAlignment="1">
      <alignment horizontal="center" vertical="center" wrapText="1"/>
    </xf>
    <xf numFmtId="0" fontId="16" fillId="31" borderId="20" xfId="2" applyFont="1" applyFill="1" applyBorder="1" applyAlignment="1">
      <alignment horizontal="center" vertical="center"/>
    </xf>
    <xf numFmtId="0" fontId="16" fillId="31" borderId="5" xfId="2" applyFont="1" applyFill="1" applyBorder="1" applyAlignment="1">
      <alignment horizontal="center" vertical="center"/>
    </xf>
    <xf numFmtId="0" fontId="16" fillId="31" borderId="21" xfId="2" applyFont="1" applyFill="1" applyBorder="1" applyAlignment="1">
      <alignment horizontal="center" vertical="center"/>
    </xf>
    <xf numFmtId="0" fontId="13" fillId="31" borderId="20" xfId="4" applyFont="1" applyFill="1" applyBorder="1" applyAlignment="1">
      <alignment horizontal="center" vertical="center"/>
    </xf>
    <xf numFmtId="0" fontId="13" fillId="31" borderId="5" xfId="4" applyFont="1" applyFill="1" applyBorder="1" applyAlignment="1">
      <alignment horizontal="center" vertical="center"/>
    </xf>
    <xf numFmtId="0" fontId="13" fillId="31" borderId="21" xfId="4" applyFont="1" applyFill="1" applyBorder="1" applyAlignment="1">
      <alignment horizontal="center" vertical="center"/>
    </xf>
    <xf numFmtId="0" fontId="15" fillId="31" borderId="14" xfId="91" applyFont="1" applyFill="1" applyBorder="1" applyAlignment="1">
      <alignment horizontal="center" vertical="center"/>
    </xf>
    <xf numFmtId="0" fontId="15" fillId="31" borderId="18" xfId="91" applyFont="1" applyFill="1" applyBorder="1" applyAlignment="1">
      <alignment horizontal="center" vertical="center"/>
    </xf>
    <xf numFmtId="0" fontId="15" fillId="31" borderId="11" xfId="91" applyFont="1" applyFill="1" applyBorder="1" applyAlignment="1">
      <alignment horizontal="center" vertical="center"/>
    </xf>
    <xf numFmtId="0" fontId="15" fillId="31" borderId="12" xfId="91" applyFont="1" applyFill="1" applyBorder="1" applyAlignment="1">
      <alignment horizontal="center" vertical="center"/>
    </xf>
    <xf numFmtId="0" fontId="16" fillId="31" borderId="22" xfId="91" applyFont="1" applyFill="1" applyBorder="1" applyAlignment="1">
      <alignment horizontal="center" vertical="center"/>
    </xf>
    <xf numFmtId="0" fontId="16" fillId="31" borderId="23" xfId="91" applyFont="1" applyFill="1" applyBorder="1" applyAlignment="1">
      <alignment horizontal="center" vertical="center"/>
    </xf>
    <xf numFmtId="0" fontId="16" fillId="31" borderId="30" xfId="91" applyFont="1" applyFill="1" applyBorder="1" applyAlignment="1">
      <alignment horizontal="center" vertical="center"/>
    </xf>
    <xf numFmtId="0" fontId="16" fillId="31" borderId="11" xfId="91" applyFont="1" applyFill="1" applyBorder="1" applyAlignment="1">
      <alignment horizontal="center" vertical="center"/>
    </xf>
    <xf numFmtId="0" fontId="16" fillId="31" borderId="15" xfId="91" applyFont="1" applyFill="1" applyBorder="1" applyAlignment="1">
      <alignment horizontal="center" vertical="center"/>
    </xf>
  </cellXfs>
  <cellStyles count="92">
    <cellStyle name=" Task]_x000d__x000a_TaskName=Scan At_x000d__x000a_TaskID=3_x000d__x000a_WorkstationName=SmarTone_x000d__x000a_LastExecuted=0_x000d__x000a_LastSt" xfId="1"/>
    <cellStyle name=" Task]_x000d__x000a_TaskName=Scan At_x000d__x000a_TaskID=3_x000d__x000a_WorkstationName=SmarTone_x000d__x000a_LastExecuted=0_x000d__x000a_LastSt 2" xfId="2"/>
    <cellStyle name=" Task]_x000d__x000a_TaskName=Scan At_x000d__x000a_TaskID=3_x000d__x000a_WorkstationName=SmarTone_x000d__x000a_LastExecuted=0_x000d__x000a_LastSt 3" xfId="3"/>
    <cellStyle name=" Task]_x000d__x000a_TaskName=Scan At_x000d__x000a_TaskID=3_x000d__x000a_WorkstationName=SmarTone_x000d__x000a_LastExecuted=0_x000d__x000a_LastSt 4" xfId="4"/>
    <cellStyle name=" Task]_x000d__x000a_TaskName=Scan At_x000d__x000a_TaskID=3_x000d__x000a_WorkstationName=SmarTone_x000d__x000a_LastExecuted=0_x000d__x000a_LastSt 4 2" xfId="91"/>
    <cellStyle name=" Task]_x000d__x000a_TaskName=Scan At_x000d__x000a_TaskID=3_x000d__x000a_WorkstationName=SmarTone_x000d__x000a_LastExecuted=0_x000d__x000a_LastSt_1. Apresentação" xfId="5"/>
    <cellStyle name=" Task]_x000d__x000a_TaskName=Scan At_x000d__x000a_TaskID=3_x000d__x000a_WorkstationName=SmarTone_x000d__x000a_LastExecuted=0_x000d__x000a_LastSt_DATAFILL_2000_(do modelo 3)" xfId="6"/>
    <cellStyle name="_x0007__x000b_" xfId="7"/>
    <cellStyle name="_x0007__x000b_ 2" xfId="8"/>
    <cellStyle name="%" xfId="9"/>
    <cellStyle name="% 2" xfId="10"/>
    <cellStyle name="%_4. Alocação de ET BCSU" xfId="11"/>
    <cellStyle name="%_8. Gerência" xfId="12"/>
    <cellStyle name="%_BSCCE38_DATAFILL_over IP_Rev1" xfId="13"/>
    <cellStyle name="20% - Accent1" xfId="14"/>
    <cellStyle name="20% - Accent2" xfId="15"/>
    <cellStyle name="20% - Accent3" xfId="16"/>
    <cellStyle name="20% - Accent4" xfId="17"/>
    <cellStyle name="20% - Accent5" xfId="18"/>
    <cellStyle name="20% - Accent6" xfId="19"/>
    <cellStyle name="40% - Accent1" xfId="20"/>
    <cellStyle name="40% - Accent2" xfId="21"/>
    <cellStyle name="40% - Accent3" xfId="22"/>
    <cellStyle name="40% - Accent4" xfId="23"/>
    <cellStyle name="40% - Accent5" xfId="24"/>
    <cellStyle name="40% - Accent6" xfId="25"/>
    <cellStyle name="60% - Accent1" xfId="26"/>
    <cellStyle name="60% - Accent2" xfId="27"/>
    <cellStyle name="60% - Accent3" xfId="28"/>
    <cellStyle name="60% - Accent4" xfId="29"/>
    <cellStyle name="60% - Accent5" xfId="30"/>
    <cellStyle name="60% - Accent6" xfId="31"/>
    <cellStyle name="Accent1" xfId="32"/>
    <cellStyle name="Accent2" xfId="33"/>
    <cellStyle name="Accent3" xfId="34"/>
    <cellStyle name="Accent4" xfId="35"/>
    <cellStyle name="Accent5" xfId="36"/>
    <cellStyle name="Accent6" xfId="37"/>
    <cellStyle name="Bad" xfId="38"/>
    <cellStyle name="Body" xfId="39"/>
    <cellStyle name="Calculation" xfId="40"/>
    <cellStyle name="Comma  - Style1" xfId="41"/>
    <cellStyle name="Comma  - Style2" xfId="42"/>
    <cellStyle name="Comma  - Style3" xfId="43"/>
    <cellStyle name="Comma  - Style4" xfId="44"/>
    <cellStyle name="Comma  - Style5" xfId="45"/>
    <cellStyle name="Comma  - Style6" xfId="46"/>
    <cellStyle name="Comma  - Style7" xfId="47"/>
    <cellStyle name="Comma  - Style8" xfId="48"/>
    <cellStyle name="datafill bulk" xfId="49"/>
    <cellStyle name="datafill command info" xfId="50"/>
    <cellStyle name="datafill command info for MGW" xfId="51"/>
    <cellStyle name="datafill header1" xfId="52"/>
    <cellStyle name="datafill header2" xfId="53"/>
    <cellStyle name="datafill reserved line" xfId="54"/>
    <cellStyle name="datafill sheet info" xfId="55"/>
    <cellStyle name="datafill sheet info for MGW" xfId="56"/>
    <cellStyle name="entry box" xfId="57"/>
    <cellStyle name="Estilo 1" xfId="58"/>
    <cellStyle name="Estilo 2" xfId="59"/>
    <cellStyle name="Estilo 3" xfId="60"/>
    <cellStyle name="Euro" xfId="61"/>
    <cellStyle name="Euro 2" xfId="62"/>
    <cellStyle name="Explanatory Text" xfId="63"/>
    <cellStyle name="Grey" xfId="64"/>
    <cellStyle name="Header1" xfId="65"/>
    <cellStyle name="Header2" xfId="66"/>
    <cellStyle name="Heading 1" xfId="67"/>
    <cellStyle name="Heading 2" xfId="68"/>
    <cellStyle name="Heading 3" xfId="69"/>
    <cellStyle name="Input [yellow]" xfId="70"/>
    <cellStyle name="no dec" xfId="71"/>
    <cellStyle name="Normal" xfId="0" builtinId="0"/>
    <cellStyle name="Normal - Style1" xfId="72"/>
    <cellStyle name="Normal 2" xfId="73"/>
    <cellStyle name="Normal 3" xfId="74"/>
    <cellStyle name="Normal_BSCGO37" xfId="75"/>
    <cellStyle name="Normal_Datafill Interface Gb BSCS5 -SGSNH1" xfId="76"/>
    <cellStyle name="Normal_Datafill Interface Gb BSCS5 -SGSNH1 2" xfId="77"/>
    <cellStyle name="normální_T2" xfId="78"/>
    <cellStyle name="Output" xfId="79"/>
    <cellStyle name="Percent [2]" xfId="80"/>
    <cellStyle name="Prefilled" xfId="81"/>
    <cellStyle name="Standard_VI_MSC_Initial_Data_Ver1" xfId="82"/>
    <cellStyle name="Times New Roman" xfId="83"/>
    <cellStyle name="Title" xfId="84"/>
    <cellStyle name="一般_EXP4-3交換機PointCode" xfId="85"/>
    <cellStyle name="千位[0]_laroux" xfId="86"/>
    <cellStyle name="千位_laroux" xfId="87"/>
    <cellStyle name="常规_laroux" xfId="88"/>
    <cellStyle name="货币[0]_laroux" xfId="89"/>
    <cellStyle name="货币_laroux" xfId="9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41" name="Rectangle 13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42" name="Rectangle 13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43" name="Rectangle 13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44" name="Rectangle 13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245" name="Rectangle 13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246" name="Rectangle 13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247" name="Rectangle 13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248" name="Rectangle 13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249" name="Rectangle 13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250" name="Rectangle 13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251" name="Rectangle 14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252" name="Rectangle 14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53" name="Rectangle 14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54" name="Rectangle 14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55" name="Rectangle 14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56" name="Rectangle 14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57" name="Rectangle 14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58" name="Rectangle 14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59" name="Rectangle 14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60" name="Rectangle 14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61" name="Rectangle 15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62" name="Rectangle 15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63" name="Rectangle 15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64" name="Rectangle 15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65" name="Rectangle 15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66" name="Rectangle 15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67" name="Rectangle 15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68" name="Rectangle 15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69" name="Rectangle 15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70" name="Rectangle 15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71" name="Rectangle 16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72" name="Rectangle 16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73" name="Rectangle 16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74" name="Rectangle 16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75" name="Rectangle 16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76" name="Rectangle 16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77" name="Rectangle 16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78" name="Rectangle 16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79" name="Rectangle 16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80" name="Rectangle 16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81" name="Rectangle 17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82" name="Rectangle 17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83" name="Rectangle 17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84" name="Rectangle 17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285" name="Rectangle 17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286" name="Rectangle 17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287" name="Rectangle 17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288" name="Rectangle 17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89" name="Rectangle 17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90" name="Rectangle 17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91" name="Rectangle 18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92" name="Rectangle 18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93" name="Rectangle 18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94" name="Rectangle 18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95" name="Rectangle 18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96" name="Rectangle 18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97" name="Rectangle 18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98" name="Rectangle 18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299" name="Rectangle 18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300" name="Rectangle 18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301" name="Rectangle 19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302" name="Rectangle 19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303" name="Rectangle 19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304" name="Rectangle 19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305" name="Rectangle 19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306" name="Rectangle 19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307" name="Rectangle 19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308" name="Rectangle 19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309" name="Rectangle 19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310" name="Rectangle 19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311" name="Rectangle 20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312" name="Rectangle 20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313" name="Rectangle 20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314" name="Rectangle 20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315" name="Rectangle 20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316" name="Rectangle 20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317" name="Rectangle 20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318" name="Rectangle 20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319" name="Rectangle 20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320" name="Rectangle 20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21" name="Rectangle 21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22" name="Rectangle 21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23" name="Rectangle 21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24" name="Rectangle 21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25" name="Rectangle 21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26" name="Rectangle 21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27" name="Rectangle 21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28" name="Rectangle 21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329" name="Rectangle 21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330" name="Rectangle 21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331" name="Rectangle 22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332" name="Rectangle 22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33" name="Rectangle 22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34" name="Rectangle 22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35" name="Rectangle 22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36" name="Rectangle 22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37" name="Rectangle 22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38" name="Rectangle 22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39" name="Rectangle 22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40" name="Rectangle 22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41" name="Rectangle 23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42" name="Rectangle 23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43" name="Rectangle 23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44" name="Rectangle 23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45" name="Rectangle 23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46" name="Rectangle 23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47" name="Rectangle 23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48" name="Rectangle 23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49" name="Rectangle 23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50" name="Rectangle 23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51" name="Rectangle 24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52" name="Rectangle 24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53" name="Rectangle 24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54" name="Rectangle 24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55" name="Rectangle 24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56" name="Rectangle 24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57" name="Rectangle 24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58" name="Rectangle 24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59" name="Rectangle 24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60" name="Rectangle 24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61" name="Rectangle 25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62" name="Rectangle 25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63" name="Rectangle 25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64" name="Rectangle 25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65" name="Rectangle 25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66" name="Rectangle 25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67" name="Rectangle 25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68" name="Rectangle 25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69" name="Rectangle 25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70" name="Rectangle 25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71" name="Rectangle 26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72" name="Rectangle 26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73" name="Rectangle 26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74" name="Rectangle 26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75" name="Rectangle 26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76" name="Rectangle 26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77" name="Rectangle 26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78" name="Rectangle 26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79" name="Rectangle 26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80" name="Rectangle 26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81" name="Rectangle 27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82" name="Rectangle 27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83" name="Rectangle 27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84" name="Rectangle 27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85" name="Rectangle 27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86" name="Rectangle 27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87" name="Rectangle 27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88" name="Rectangle 27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89" name="Rectangle 27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90" name="Rectangle 27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91" name="Rectangle 28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92" name="Rectangle 28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93" name="Rectangle 28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94" name="Rectangle 28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95" name="Rectangle 28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96" name="Rectangle 28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97" name="Rectangle 28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98" name="Rectangle 28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399" name="Rectangle 28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00" name="Rectangle 28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01" name="Rectangle 29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02" name="Rectangle 29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03" name="Rectangle 29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04" name="Rectangle 29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05" name="Rectangle 29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06" name="Rectangle 29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07" name="Rectangle 29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08" name="Rectangle 29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09" name="Rectangle 29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10" name="Rectangle 29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11" name="Rectangle 30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12" name="Rectangle 30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13" name="Rectangle 30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14" name="Rectangle 30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15" name="Rectangle 30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16" name="Rectangle 30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17" name="Rectangle 30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18" name="Rectangle 30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19" name="Rectangle 30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20" name="Rectangle 30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21" name="Rectangle 31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22" name="Rectangle 31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23" name="Rectangle 31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24" name="Rectangle 31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25" name="Rectangle 31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26" name="Rectangle 31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27" name="Rectangle 31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28" name="Rectangle 31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29" name="Rectangle 31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30" name="Rectangle 31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31" name="Rectangle 32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32" name="Rectangle 32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33" name="Rectangle 32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34" name="Rectangle 32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35" name="Rectangle 32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36" name="Rectangle 32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37" name="Rectangle 32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38" name="Rectangle 32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39" name="Rectangle 32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40" name="Rectangle 32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41" name="Rectangle 33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42" name="Rectangle 33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43" name="Rectangle 33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44" name="Rectangle 33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45" name="Rectangle 33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46" name="Rectangle 33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47" name="Rectangle 33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48" name="Rectangle 33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49" name="Rectangle 33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50" name="Rectangle 33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51" name="Rectangle 34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52" name="Rectangle 34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53" name="Rectangle 34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54" name="Rectangle 34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55" name="Rectangle 34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56" name="Rectangle 34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57" name="Rectangle 34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58" name="Rectangle 34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59" name="Rectangle 34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60" name="Rectangle 34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61" name="Rectangle 35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62" name="Rectangle 35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63" name="Rectangle 35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64" name="Rectangle 35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65" name="Rectangle 35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66" name="Rectangle 35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67" name="Rectangle 35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68" name="Rectangle 35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69" name="Rectangle 35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70" name="Rectangle 35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71" name="Rectangle 36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72" name="Rectangle 36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73" name="Rectangle 36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74" name="Rectangle 36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75" name="Rectangle 36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76" name="Rectangle 36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77" name="Rectangle 36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78" name="Rectangle 36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79" name="Rectangle 36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80" name="Rectangle 36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81" name="Rectangle 37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82" name="Rectangle 37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83" name="Rectangle 37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84" name="Rectangle 37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85" name="Rectangle 37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86" name="Rectangle 37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87" name="Rectangle 37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88" name="Rectangle 37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89" name="Rectangle 37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90" name="Rectangle 37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91" name="Rectangle 38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92" name="Rectangle 38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93" name="Rectangle 38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94" name="Rectangle 38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95" name="Rectangle 38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496" name="Rectangle 38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497" name="Rectangle 38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498" name="Rectangle 38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499" name="Rectangle 38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00" name="Rectangle 38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01" name="Rectangle 39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02" name="Rectangle 39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03" name="Rectangle 39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04" name="Rectangle 39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05" name="Rectangle 39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06" name="Rectangle 39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07" name="Rectangle 39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08" name="Rectangle 39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09" name="Rectangle 39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10" name="Rectangle 39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11" name="Rectangle 40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12" name="Rectangle 40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13" name="Rectangle 40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14" name="Rectangle 40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15" name="Rectangle 40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16" name="Rectangle 40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17" name="Rectangle 40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18" name="Rectangle 40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19" name="Rectangle 40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20" name="Rectangle 40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21" name="Rectangle 41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22" name="Rectangle 41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23" name="Rectangle 41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24" name="Rectangle 41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25" name="Rectangle 41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26" name="Rectangle 41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27" name="Rectangle 41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28" name="Rectangle 41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29" name="Rectangle 41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30" name="Rectangle 41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31" name="Rectangle 42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32" name="Rectangle 42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33" name="Rectangle 42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34" name="Rectangle 42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35" name="Rectangle 42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36" name="Rectangle 42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37" name="Rectangle 42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38" name="Rectangle 42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39" name="Rectangle 42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540" name="Rectangle 42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41" name="Rectangle 43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42" name="Rectangle 43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43" name="Rectangle 43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44" name="Rectangle 43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45" name="Rectangle 43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46" name="Rectangle 43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47" name="Rectangle 43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48" name="Rectangle 43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49" name="Rectangle 43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50" name="Rectangle 43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51" name="Rectangle 44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52" name="Rectangle 44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53" name="Rectangle 44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54" name="Rectangle 44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55" name="Rectangle 44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56" name="Rectangle 44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57" name="Rectangle 44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58" name="Rectangle 44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59" name="Rectangle 44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60" name="Rectangle 44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61" name="Rectangle 45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62" name="Rectangle 45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63" name="Rectangle 45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64" name="Rectangle 45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65" name="Rectangle 45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66" name="Rectangle 45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67" name="Rectangle 45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568" name="Rectangle 45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6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47569" name="Line 458"/>
        <xdr:cNvSpPr>
          <a:spLocks noChangeShapeType="1"/>
        </xdr:cNvSpPr>
      </xdr:nvSpPr>
      <xdr:spPr bwMode="auto">
        <a:xfrm>
          <a:off x="10458450" y="1352550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6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47570" name="Line 459"/>
        <xdr:cNvSpPr>
          <a:spLocks noChangeShapeType="1"/>
        </xdr:cNvSpPr>
      </xdr:nvSpPr>
      <xdr:spPr bwMode="auto">
        <a:xfrm>
          <a:off x="10458450" y="1352550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71" name="Rectangle 46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72" name="Rectangle 46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73" name="Rectangle 46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74" name="Rectangle 46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75" name="Rectangle 46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76" name="Rectangle 46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77" name="Rectangle 46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78" name="Rectangle 46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79" name="Rectangle 46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80" name="Rectangle 46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81" name="Rectangle 47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82" name="Rectangle 47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83" name="Rectangle 47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84" name="Rectangle 47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85" name="Rectangle 47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86" name="Rectangle 47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87" name="Rectangle 47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88" name="Rectangle 47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89" name="Rectangle 47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90" name="Rectangle 47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91" name="Rectangle 48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92" name="Rectangle 48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93" name="Rectangle 48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94" name="Rectangle 48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95" name="Rectangle 48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96" name="Rectangle 48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97" name="Rectangle 48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98" name="Rectangle 48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599" name="Rectangle 48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00" name="Rectangle 48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01" name="Rectangle 49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02" name="Rectangle 49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03" name="Rectangle 49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04" name="Rectangle 49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05" name="Rectangle 49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06" name="Rectangle 49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07" name="Rectangle 49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08" name="Rectangle 49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09" name="Rectangle 49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10" name="Rectangle 49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11" name="Rectangle 50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12" name="Rectangle 50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13" name="Rectangle 50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14" name="Rectangle 50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15" name="Rectangle 50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16" name="Rectangle 50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17" name="Rectangle 50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18" name="Rectangle 50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19" name="Rectangle 50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20" name="Rectangle 50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21" name="Rectangle 51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22" name="Rectangle 51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23" name="Rectangle 51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24" name="Rectangle 51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25" name="Rectangle 51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26" name="Rectangle 51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27" name="Rectangle 51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28" name="Rectangle 51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29" name="Rectangle 51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30" name="Rectangle 51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31" name="Rectangle 52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32" name="Rectangle 52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33" name="Rectangle 52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34" name="Rectangle 52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35" name="Rectangle 52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36" name="Rectangle 52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37" name="Rectangle 52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38" name="Rectangle 52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39" name="Rectangle 52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40" name="Rectangle 52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41" name="Rectangle 53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42" name="Rectangle 53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43" name="Rectangle 53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44" name="Rectangle 53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45" name="Rectangle 53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46" name="Rectangle 53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47" name="Rectangle 53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48" name="Rectangle 53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49" name="Rectangle 53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50" name="Rectangle 53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51" name="Rectangle 54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52" name="Rectangle 54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53" name="Rectangle 54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54" name="Rectangle 54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55" name="Rectangle 54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56" name="Rectangle 54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57" name="Rectangle 54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58" name="Rectangle 54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59" name="Rectangle 54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60" name="Rectangle 54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61" name="Rectangle 55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62" name="Rectangle 55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63" name="Rectangle 55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64" name="Rectangle 55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65" name="Rectangle 55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66" name="Rectangle 55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67" name="Rectangle 55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68" name="Rectangle 55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69" name="Rectangle 55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70" name="Rectangle 55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71" name="Rectangle 56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72" name="Rectangle 56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73" name="Rectangle 56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74" name="Rectangle 56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75" name="Rectangle 56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76" name="Rectangle 56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77" name="Rectangle 56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7678" name="Rectangle 56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6</xdr:row>
      <xdr:rowOff>0</xdr:rowOff>
    </xdr:from>
    <xdr:to>
      <xdr:col>17</xdr:col>
      <xdr:colOff>0</xdr:colOff>
      <xdr:row>6</xdr:row>
      <xdr:rowOff>0</xdr:rowOff>
    </xdr:to>
    <xdr:sp macro="" textlink="">
      <xdr:nvSpPr>
        <xdr:cNvPr id="47679" name="Line 568"/>
        <xdr:cNvSpPr>
          <a:spLocks noChangeShapeType="1"/>
        </xdr:cNvSpPr>
      </xdr:nvSpPr>
      <xdr:spPr bwMode="auto">
        <a:xfrm>
          <a:off x="9782175" y="1352550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6</xdr:row>
      <xdr:rowOff>0</xdr:rowOff>
    </xdr:from>
    <xdr:to>
      <xdr:col>17</xdr:col>
      <xdr:colOff>0</xdr:colOff>
      <xdr:row>6</xdr:row>
      <xdr:rowOff>0</xdr:rowOff>
    </xdr:to>
    <xdr:sp macro="" textlink="">
      <xdr:nvSpPr>
        <xdr:cNvPr id="47680" name="Line 569"/>
        <xdr:cNvSpPr>
          <a:spLocks noChangeShapeType="1"/>
        </xdr:cNvSpPr>
      </xdr:nvSpPr>
      <xdr:spPr bwMode="auto">
        <a:xfrm>
          <a:off x="9782175" y="1352550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681" name="Rectangle 57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682" name="Rectangle 57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683" name="Rectangle 57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684" name="Rectangle 57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685" name="Rectangle 57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686" name="Rectangle 57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687" name="Rectangle 57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688" name="Rectangle 57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689" name="Rectangle 57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690" name="Rectangle 57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691" name="Rectangle 58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692" name="Rectangle 58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693" name="Rectangle 58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694" name="Rectangle 58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695" name="Rectangle 58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696" name="Rectangle 58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697" name="Rectangle 58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698" name="Rectangle 58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699" name="Rectangle 58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00" name="Rectangle 58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01" name="Rectangle 59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02" name="Rectangle 59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03" name="Rectangle 59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04" name="Rectangle 59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05" name="Rectangle 59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06" name="Rectangle 59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07" name="Rectangle 59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08" name="Rectangle 59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09" name="Rectangle 59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10" name="Rectangle 59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11" name="Rectangle 60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12" name="Rectangle 60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13" name="Rectangle 60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14" name="Rectangle 60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15" name="Rectangle 60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16" name="Rectangle 60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17" name="Rectangle 60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18" name="Rectangle 60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19" name="Rectangle 60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20" name="Rectangle 60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21" name="Rectangle 61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22" name="Rectangle 61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23" name="Rectangle 61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24" name="Rectangle 61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25" name="Rectangle 61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26" name="Rectangle 61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27" name="Rectangle 61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28" name="Rectangle 61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29" name="Rectangle 61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30" name="Rectangle 61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31" name="Rectangle 62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32" name="Rectangle 62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33" name="Rectangle 62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34" name="Rectangle 62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35" name="Rectangle 62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36" name="Rectangle 62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37" name="Rectangle 62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38" name="Rectangle 62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39" name="Rectangle 62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40" name="Rectangle 62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41" name="Rectangle 63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42" name="Rectangle 63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43" name="Rectangle 63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44" name="Rectangle 63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45" name="Rectangle 63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46" name="Rectangle 63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47" name="Rectangle 63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48" name="Rectangle 63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49" name="Rectangle 63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50" name="Rectangle 63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51" name="Rectangle 64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52" name="Rectangle 64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53" name="Rectangle 64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54" name="Rectangle 64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55" name="Rectangle 64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56" name="Rectangle 64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57" name="Rectangle 64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58" name="Rectangle 64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59" name="Rectangle 64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60" name="Rectangle 64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61" name="Rectangle 65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62" name="Rectangle 65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63" name="Rectangle 65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64" name="Rectangle 65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65" name="Rectangle 65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66" name="Rectangle 65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67" name="Rectangle 65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68" name="Rectangle 65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69" name="Rectangle 65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70" name="Rectangle 65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71" name="Rectangle 66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772" name="Rectangle 66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73" name="Rectangle 66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74" name="Rectangle 66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75" name="Rectangle 66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76" name="Rectangle 66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77" name="Rectangle 66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78" name="Rectangle 66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79" name="Rectangle 66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80" name="Rectangle 66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81" name="Rectangle 67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82" name="Rectangle 67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83" name="Rectangle 67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84" name="Rectangle 67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85" name="Rectangle 67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86" name="Rectangle 67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87" name="Rectangle 67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88" name="Rectangle 67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89" name="Rectangle 67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90" name="Rectangle 67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91" name="Rectangle 68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92" name="Rectangle 68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93" name="Rectangle 68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94" name="Rectangle 68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95" name="Rectangle 68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96" name="Rectangle 68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97" name="Rectangle 68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98" name="Rectangle 68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799" name="Rectangle 68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00" name="Rectangle 68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01" name="Rectangle 69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02" name="Rectangle 69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03" name="Rectangle 69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04" name="Rectangle 69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05" name="Rectangle 69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06" name="Rectangle 69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07" name="Rectangle 69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08" name="Rectangle 69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09" name="Rectangle 69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10" name="Rectangle 69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11" name="Rectangle 70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12" name="Rectangle 70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13" name="Rectangle 70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14" name="Rectangle 70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15" name="Rectangle 70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16" name="Rectangle 70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17" name="Rectangle 70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18" name="Rectangle 70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19" name="Rectangle 70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20" name="Rectangle 70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21" name="Rectangle 71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22" name="Rectangle 71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23" name="Rectangle 71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24" name="Rectangle 71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25" name="Rectangle 71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26" name="Rectangle 71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27" name="Rectangle 71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28" name="Rectangle 71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29" name="Rectangle 71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30" name="Rectangle 71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31" name="Rectangle 72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32" name="Rectangle 72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33" name="Rectangle 72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34" name="Rectangle 72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35" name="Rectangle 72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36" name="Rectangle 72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37" name="Rectangle 72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38" name="Rectangle 72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39" name="Rectangle 72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40" name="Rectangle 72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41" name="Rectangle 73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42" name="Rectangle 73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43" name="Rectangle 73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44" name="Rectangle 73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45" name="Rectangle 73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46" name="Rectangle 73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47" name="Rectangle 73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48" name="Rectangle 73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49" name="Rectangle 73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50" name="Rectangle 73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51" name="Rectangle 74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52" name="Rectangle 74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53" name="Rectangle 74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54" name="Rectangle 74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55" name="Rectangle 74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56" name="Rectangle 74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57" name="Rectangle 74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58" name="Rectangle 74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59" name="Rectangle 74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60" name="Rectangle 74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61" name="Rectangle 75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62" name="Rectangle 75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63" name="Rectangle 75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64" name="Rectangle 75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65" name="Rectangle 75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66" name="Rectangle 75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67" name="Rectangle 75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68" name="Rectangle 75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69" name="Rectangle 75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70" name="Rectangle 75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71" name="Rectangle 76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72" name="Rectangle 76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73" name="Rectangle 76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74" name="Rectangle 76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75" name="Rectangle 76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76" name="Rectangle 76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77" name="Rectangle 76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78" name="Rectangle 76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79" name="Rectangle 76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80" name="Rectangle 76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81" name="Rectangle 77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82" name="Rectangle 77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83" name="Rectangle 77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84" name="Rectangle 77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85" name="Rectangle 77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86" name="Rectangle 77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87" name="Rectangle 77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88" name="Rectangle 77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89" name="Rectangle 77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90" name="Rectangle 77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91" name="Rectangle 78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92" name="Rectangle 78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93" name="Rectangle 78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94" name="Rectangle 78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95" name="Rectangle 78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96" name="Rectangle 78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97" name="Rectangle 78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98" name="Rectangle 78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899" name="Rectangle 78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00" name="Rectangle 78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01" name="Rectangle 79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02" name="Rectangle 79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03" name="Rectangle 79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04" name="Rectangle 79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05" name="Rectangle 79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06" name="Rectangle 79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07" name="Rectangle 79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08" name="Rectangle 79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09" name="Rectangle 79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10" name="Rectangle 79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11" name="Rectangle 80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12" name="Rectangle 80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13" name="Rectangle 80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14" name="Rectangle 80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15" name="Rectangle 80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16" name="Rectangle 80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17" name="Rectangle 80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18" name="Rectangle 80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19" name="Rectangle 80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20" name="Rectangle 80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21" name="Rectangle 81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22" name="Rectangle 81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23" name="Rectangle 81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24" name="Rectangle 81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25" name="Rectangle 81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26" name="Rectangle 81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27" name="Rectangle 81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28" name="Rectangle 81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29" name="Rectangle 81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30" name="Rectangle 81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31" name="Rectangle 82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32" name="Rectangle 82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33" name="Rectangle 82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34" name="Rectangle 82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35" name="Rectangle 82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36" name="Rectangle 82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937" name="Rectangle 82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938" name="Rectangle 82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939" name="Rectangle 82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940" name="Rectangle 82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41" name="Rectangle 83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42" name="Rectangle 83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43" name="Rectangle 83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44" name="Rectangle 83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45" name="Rectangle 83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46" name="Rectangle 83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47" name="Rectangle 83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48" name="Rectangle 83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49" name="Rectangle 83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50" name="Rectangle 83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51" name="Rectangle 84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52" name="Rectangle 84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53" name="Rectangle 84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54" name="Rectangle 84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55" name="Rectangle 84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56" name="Rectangle 84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57" name="Rectangle 84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58" name="Rectangle 84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59" name="Rectangle 84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60" name="Rectangle 84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61" name="Rectangle 85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62" name="Rectangle 85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63" name="Rectangle 85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64" name="Rectangle 85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65" name="Rectangle 85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66" name="Rectangle 85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67" name="Rectangle 85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68" name="Rectangle 85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69" name="Rectangle 85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70" name="Rectangle 85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71" name="Rectangle 86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72" name="Rectangle 86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73" name="Rectangle 86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74" name="Rectangle 86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75" name="Rectangle 86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76" name="Rectangle 86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77" name="Rectangle 86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78" name="Rectangle 86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79" name="Rectangle 86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7980" name="Rectangle 86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981" name="Rectangle 87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982" name="Rectangle 87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983" name="Rectangle 87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984" name="Rectangle 87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985" name="Rectangle 87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986" name="Rectangle 87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987" name="Rectangle 87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988" name="Rectangle 87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989" name="Rectangle 87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990" name="Rectangle 87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991" name="Rectangle 88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992" name="Rectangle 88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993" name="Rectangle 88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994" name="Rectangle 88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995" name="Rectangle 88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996" name="Rectangle 88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997" name="Rectangle 88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998" name="Rectangle 88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7999" name="Rectangle 88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8000" name="Rectangle 88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8001" name="Rectangle 89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8002" name="Rectangle 89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8003" name="Rectangle 89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8004" name="Rectangle 89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8005" name="Rectangle 89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8006" name="Rectangle 89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8007" name="Rectangle 89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8008" name="Rectangle 89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6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48009" name="Line 898"/>
        <xdr:cNvSpPr>
          <a:spLocks noChangeShapeType="1"/>
        </xdr:cNvSpPr>
      </xdr:nvSpPr>
      <xdr:spPr bwMode="auto">
        <a:xfrm>
          <a:off x="10458450" y="1352550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6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48010" name="Line 899"/>
        <xdr:cNvSpPr>
          <a:spLocks noChangeShapeType="1"/>
        </xdr:cNvSpPr>
      </xdr:nvSpPr>
      <xdr:spPr bwMode="auto">
        <a:xfrm>
          <a:off x="10458450" y="1352550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11" name="Rectangle 90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12" name="Rectangle 90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13" name="Rectangle 90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14" name="Rectangle 90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15" name="Rectangle 90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16" name="Rectangle 90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17" name="Rectangle 90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18" name="Rectangle 90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19" name="Rectangle 90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20" name="Rectangle 90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21" name="Rectangle 91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22" name="Rectangle 91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23" name="Rectangle 91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24" name="Rectangle 91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25" name="Rectangle 91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26" name="Rectangle 91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27" name="Rectangle 91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28" name="Rectangle 91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29" name="Rectangle 91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30" name="Rectangle 91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31" name="Rectangle 92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32" name="Rectangle 92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33" name="Rectangle 92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34" name="Rectangle 92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35" name="Rectangle 92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36" name="Rectangle 92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37" name="Rectangle 92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38" name="Rectangle 92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39" name="Rectangle 92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40" name="Rectangle 92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41" name="Rectangle 93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42" name="Rectangle 93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43" name="Rectangle 93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44" name="Rectangle 93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45" name="Rectangle 93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46" name="Rectangle 93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47" name="Rectangle 93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48" name="Rectangle 93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49" name="Rectangle 93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50" name="Rectangle 93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51" name="Rectangle 94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52" name="Rectangle 94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53" name="Rectangle 94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54" name="Rectangle 94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55" name="Rectangle 94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56" name="Rectangle 94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57" name="Rectangle 94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58" name="Rectangle 94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59" name="Rectangle 94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60" name="Rectangle 94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61" name="Rectangle 95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62" name="Rectangle 95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63" name="Rectangle 95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64" name="Rectangle 95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65" name="Rectangle 95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66" name="Rectangle 95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67" name="Rectangle 95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68" name="Rectangle 95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69" name="Rectangle 95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70" name="Rectangle 95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71" name="Rectangle 96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72" name="Rectangle 96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73" name="Rectangle 96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74" name="Rectangle 96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75" name="Rectangle 96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76" name="Rectangle 96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77" name="Rectangle 96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78" name="Rectangle 96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79" name="Rectangle 96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80" name="Rectangle 96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81" name="Rectangle 97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82" name="Rectangle 97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83" name="Rectangle 97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84" name="Rectangle 97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85" name="Rectangle 97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86" name="Rectangle 97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87" name="Rectangle 97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88" name="Rectangle 97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89" name="Rectangle 97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90" name="Rectangle 97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91" name="Rectangle 98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92" name="Rectangle 98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93" name="Rectangle 98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94" name="Rectangle 98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95" name="Rectangle 98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96" name="Rectangle 98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97" name="Rectangle 98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98" name="Rectangle 98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099" name="Rectangle 98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100" name="Rectangle 98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101" name="Rectangle 99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102" name="Rectangle 99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103" name="Rectangle 99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104" name="Rectangle 99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105" name="Rectangle 99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106" name="Rectangle 99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107" name="Rectangle 99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108" name="Rectangle 99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109" name="Rectangle 99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110" name="Rectangle 99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111" name="Rectangle 100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112" name="Rectangle 100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113" name="Rectangle 100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114" name="Rectangle 100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115" name="Rectangle 100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116" name="Rectangle 100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117" name="Rectangle 100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48118" name="Rectangle 100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6</xdr:row>
      <xdr:rowOff>0</xdr:rowOff>
    </xdr:from>
    <xdr:to>
      <xdr:col>17</xdr:col>
      <xdr:colOff>0</xdr:colOff>
      <xdr:row>6</xdr:row>
      <xdr:rowOff>0</xdr:rowOff>
    </xdr:to>
    <xdr:sp macro="" textlink="">
      <xdr:nvSpPr>
        <xdr:cNvPr id="48119" name="Line 1008"/>
        <xdr:cNvSpPr>
          <a:spLocks noChangeShapeType="1"/>
        </xdr:cNvSpPr>
      </xdr:nvSpPr>
      <xdr:spPr bwMode="auto">
        <a:xfrm>
          <a:off x="9782175" y="1352550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6</xdr:row>
      <xdr:rowOff>0</xdr:rowOff>
    </xdr:from>
    <xdr:to>
      <xdr:col>17</xdr:col>
      <xdr:colOff>0</xdr:colOff>
      <xdr:row>6</xdr:row>
      <xdr:rowOff>0</xdr:rowOff>
    </xdr:to>
    <xdr:sp macro="" textlink="">
      <xdr:nvSpPr>
        <xdr:cNvPr id="48120" name="Line 1009"/>
        <xdr:cNvSpPr>
          <a:spLocks noChangeShapeType="1"/>
        </xdr:cNvSpPr>
      </xdr:nvSpPr>
      <xdr:spPr bwMode="auto">
        <a:xfrm>
          <a:off x="9782175" y="1352550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8121" name="Rectangle 101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8122" name="Rectangle 101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8123" name="Rectangle 101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48124" name="Rectangle 101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8125" name="Rectangle 101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8126" name="Rectangle 101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48127" name="Rectangle 101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00" name="Rectangle 101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01" name="Rectangle 101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02" name="Rectangle 101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03" name="Rectangle 102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04" name="Rectangle 102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05" name="Rectangle 102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06" name="Rectangle 102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07" name="Rectangle 102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08" name="Rectangle 102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09" name="Rectangle 102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10" name="Rectangle 102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11" name="Rectangle 102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12" name="Rectangle 102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13" name="Rectangle 103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14" name="Rectangle 103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15" name="Rectangle 103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16" name="Rectangle 103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17" name="Rectangle 103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18" name="Rectangle 103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19" name="Rectangle 103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20" name="Rectangle 103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21" name="Rectangle 103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22" name="Rectangle 103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23" name="Rectangle 104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24" name="Rectangle 104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25" name="Rectangle 104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26" name="Rectangle 104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27" name="Rectangle 104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28" name="Rectangle 104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29" name="Rectangle 104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30" name="Rectangle 104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31" name="Rectangle 104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32" name="Rectangle 104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33" name="Rectangle 105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34" name="Rectangle 105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35" name="Rectangle 105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36" name="Rectangle 105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37" name="Rectangle 105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38" name="Rectangle 105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39" name="Rectangle 105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40" name="Rectangle 105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41" name="Rectangle 105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42" name="Rectangle 105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43" name="Rectangle 106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44" name="Rectangle 106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45" name="Rectangle 106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46" name="Rectangle 106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47" name="Rectangle 106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48" name="Rectangle 106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49" name="Rectangle 106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50" name="Rectangle 106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51" name="Rectangle 106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52" name="Rectangle 106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53" name="Rectangle 107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54" name="Rectangle 107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55" name="Rectangle 107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56" name="Rectangle 107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57" name="Rectangle 107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58" name="Rectangle 107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59" name="Rectangle 107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60" name="Rectangle 107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61" name="Rectangle 107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62" name="Rectangle 107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63" name="Rectangle 108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64" name="Rectangle 108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65" name="Rectangle 108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66" name="Rectangle 108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67" name="Rectangle 108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68" name="Rectangle 108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69" name="Rectangle 108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70" name="Rectangle 108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71" name="Rectangle 108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72" name="Rectangle 108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73" name="Rectangle 109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74" name="Rectangle 109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75" name="Rectangle 109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76" name="Rectangle 109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77" name="Rectangle 109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78" name="Rectangle 109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79" name="Rectangle 109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80" name="Rectangle 109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81" name="Rectangle 109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82" name="Rectangle 109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83" name="Rectangle 110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284" name="Rectangle 110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85" name="Rectangle 110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86" name="Rectangle 110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87" name="Rectangle 110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88" name="Rectangle 110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89" name="Rectangle 110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90" name="Rectangle 110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91" name="Rectangle 110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92" name="Rectangle 110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93" name="Rectangle 111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94" name="Rectangle 111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95" name="Rectangle 111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96" name="Rectangle 111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97" name="Rectangle 111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98" name="Rectangle 111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299" name="Rectangle 111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00" name="Rectangle 111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01" name="Rectangle 111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02" name="Rectangle 111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03" name="Rectangle 112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04" name="Rectangle 112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05" name="Rectangle 112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06" name="Rectangle 112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07" name="Rectangle 112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08" name="Rectangle 112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09" name="Rectangle 112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10" name="Rectangle 112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11" name="Rectangle 112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12" name="Rectangle 112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13" name="Rectangle 113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14" name="Rectangle 113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15" name="Rectangle 113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16" name="Rectangle 113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17" name="Rectangle 113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18" name="Rectangle 113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19" name="Rectangle 113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20" name="Rectangle 113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21" name="Rectangle 113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22" name="Rectangle 113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23" name="Rectangle 114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24" name="Rectangle 114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25" name="Rectangle 114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26" name="Rectangle 114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27" name="Rectangle 114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28" name="Rectangle 114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29" name="Rectangle 114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30" name="Rectangle 114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31" name="Rectangle 114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32" name="Rectangle 114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33" name="Rectangle 115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34" name="Rectangle 115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35" name="Rectangle 115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36" name="Rectangle 115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37" name="Rectangle 115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38" name="Rectangle 115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39" name="Rectangle 115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40" name="Rectangle 115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41" name="Rectangle 115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42" name="Rectangle 115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43" name="Rectangle 116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44" name="Rectangle 116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45" name="Rectangle 116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46" name="Rectangle 116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47" name="Rectangle 116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48" name="Rectangle 116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49" name="Rectangle 116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50" name="Rectangle 116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51" name="Rectangle 116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52" name="Rectangle 116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53" name="Rectangle 117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54" name="Rectangle 117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55" name="Rectangle 117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56" name="Rectangle 117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57" name="Rectangle 117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58" name="Rectangle 117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59" name="Rectangle 117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60" name="Rectangle 117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61" name="Rectangle 117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62" name="Rectangle 117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63" name="Rectangle 118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64" name="Rectangle 118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65" name="Rectangle 118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66" name="Rectangle 118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67" name="Rectangle 118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68" name="Rectangle 118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69" name="Rectangle 118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70" name="Rectangle 118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71" name="Rectangle 118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72" name="Rectangle 118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73" name="Rectangle 119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74" name="Rectangle 119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75" name="Rectangle 119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76" name="Rectangle 119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77" name="Rectangle 119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78" name="Rectangle 119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79" name="Rectangle 119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80" name="Rectangle 119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81" name="Rectangle 119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82" name="Rectangle 119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83" name="Rectangle 120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84" name="Rectangle 120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85" name="Rectangle 120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86" name="Rectangle 120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87" name="Rectangle 120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88" name="Rectangle 120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89" name="Rectangle 120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90" name="Rectangle 120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91" name="Rectangle 120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92" name="Rectangle 120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93" name="Rectangle 121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94" name="Rectangle 121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95" name="Rectangle 121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96" name="Rectangle 121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97" name="Rectangle 121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98" name="Rectangle 121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399" name="Rectangle 121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00" name="Rectangle 121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01" name="Rectangle 121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02" name="Rectangle 121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03" name="Rectangle 122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04" name="Rectangle 122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05" name="Rectangle 122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06" name="Rectangle 122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07" name="Rectangle 122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08" name="Rectangle 122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09" name="Rectangle 122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10" name="Rectangle 122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11" name="Rectangle 122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12" name="Rectangle 122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13" name="Rectangle 123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14" name="Rectangle 123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15" name="Rectangle 123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16" name="Rectangle 123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17" name="Rectangle 123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18" name="Rectangle 123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19" name="Rectangle 123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20" name="Rectangle 123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21" name="Rectangle 123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22" name="Rectangle 123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23" name="Rectangle 124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24" name="Rectangle 124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25" name="Rectangle 124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26" name="Rectangle 124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27" name="Rectangle 124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28" name="Rectangle 124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29" name="Rectangle 124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30" name="Rectangle 124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31" name="Rectangle 124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32" name="Rectangle 124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33" name="Rectangle 125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34" name="Rectangle 125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35" name="Rectangle 125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36" name="Rectangle 125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37" name="Rectangle 125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38" name="Rectangle 125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39" name="Rectangle 125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40" name="Rectangle 125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41" name="Rectangle 125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42" name="Rectangle 125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43" name="Rectangle 126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44" name="Rectangle 126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45" name="Rectangle 126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46" name="Rectangle 126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47" name="Rectangle 126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48" name="Rectangle 126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449" name="Rectangle 126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450" name="Rectangle 126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451" name="Rectangle 126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452" name="Rectangle 126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53" name="Rectangle 127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54" name="Rectangle 127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55" name="Rectangle 127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56" name="Rectangle 127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57" name="Rectangle 127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58" name="Rectangle 127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59" name="Rectangle 127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60" name="Rectangle 127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61" name="Rectangle 127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62" name="Rectangle 127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63" name="Rectangle 128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64" name="Rectangle 128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65" name="Rectangle 128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66" name="Rectangle 128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67" name="Rectangle 128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68" name="Rectangle 128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69" name="Rectangle 128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70" name="Rectangle 128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71" name="Rectangle 128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72" name="Rectangle 128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73" name="Rectangle 129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74" name="Rectangle 129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75" name="Rectangle 129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76" name="Rectangle 129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77" name="Rectangle 129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78" name="Rectangle 129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79" name="Rectangle 129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80" name="Rectangle 129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81" name="Rectangle 129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82" name="Rectangle 129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83" name="Rectangle 130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84" name="Rectangle 130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85" name="Rectangle 130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86" name="Rectangle 130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87" name="Rectangle 130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88" name="Rectangle 130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89" name="Rectangle 130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90" name="Rectangle 130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91" name="Rectangle 130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492" name="Rectangle 130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493" name="Rectangle 131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494" name="Rectangle 131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495" name="Rectangle 131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496" name="Rectangle 131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497" name="Rectangle 131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498" name="Rectangle 131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499" name="Rectangle 131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500" name="Rectangle 131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501" name="Rectangle 131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502" name="Rectangle 131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503" name="Rectangle 132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504" name="Rectangle 132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505" name="Rectangle 132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506" name="Rectangle 132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507" name="Rectangle 132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508" name="Rectangle 132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509" name="Rectangle 132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510" name="Rectangle 132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511" name="Rectangle 132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512" name="Rectangle 132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513" name="Rectangle 133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514" name="Rectangle 133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515" name="Rectangle 133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516" name="Rectangle 133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517" name="Rectangle 133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518" name="Rectangle 133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519" name="Rectangle 133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520" name="Rectangle 133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6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51521" name="Line 1338"/>
        <xdr:cNvSpPr>
          <a:spLocks noChangeShapeType="1"/>
        </xdr:cNvSpPr>
      </xdr:nvSpPr>
      <xdr:spPr bwMode="auto">
        <a:xfrm>
          <a:off x="10458450" y="1352550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6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51522" name="Line 1339"/>
        <xdr:cNvSpPr>
          <a:spLocks noChangeShapeType="1"/>
        </xdr:cNvSpPr>
      </xdr:nvSpPr>
      <xdr:spPr bwMode="auto">
        <a:xfrm>
          <a:off x="10458450" y="1352550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23" name="Rectangle 134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24" name="Rectangle 134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25" name="Rectangle 134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26" name="Rectangle 134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27" name="Rectangle 134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28" name="Rectangle 134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29" name="Rectangle 134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30" name="Rectangle 134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31" name="Rectangle 134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32" name="Rectangle 134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33" name="Rectangle 135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34" name="Rectangle 135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35" name="Rectangle 135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36" name="Rectangle 135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37" name="Rectangle 135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38" name="Rectangle 135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39" name="Rectangle 135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40" name="Rectangle 135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41" name="Rectangle 135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42" name="Rectangle 135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43" name="Rectangle 136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44" name="Rectangle 136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45" name="Rectangle 136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46" name="Rectangle 136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47" name="Rectangle 136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48" name="Rectangle 136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49" name="Rectangle 136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50" name="Rectangle 136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51" name="Rectangle 136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52" name="Rectangle 136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53" name="Rectangle 137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54" name="Rectangle 137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55" name="Rectangle 137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56" name="Rectangle 137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57" name="Rectangle 137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58" name="Rectangle 137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59" name="Rectangle 137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60" name="Rectangle 137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61" name="Rectangle 137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62" name="Rectangle 137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63" name="Rectangle 138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64" name="Rectangle 138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65" name="Rectangle 138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66" name="Rectangle 138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67" name="Rectangle 138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68" name="Rectangle 138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69" name="Rectangle 138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70" name="Rectangle 138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71" name="Rectangle 138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72" name="Rectangle 138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73" name="Rectangle 139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74" name="Rectangle 139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75" name="Rectangle 139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76" name="Rectangle 139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77" name="Rectangle 139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78" name="Rectangle 139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79" name="Rectangle 139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80" name="Rectangle 139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81" name="Rectangle 139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82" name="Rectangle 139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83" name="Rectangle 140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84" name="Rectangle 140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85" name="Rectangle 140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86" name="Rectangle 140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87" name="Rectangle 140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88" name="Rectangle 140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89" name="Rectangle 140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90" name="Rectangle 140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91" name="Rectangle 140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92" name="Rectangle 140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93" name="Rectangle 141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94" name="Rectangle 141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95" name="Rectangle 141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96" name="Rectangle 141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97" name="Rectangle 141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98" name="Rectangle 141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599" name="Rectangle 141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00" name="Rectangle 141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01" name="Rectangle 141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02" name="Rectangle 141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03" name="Rectangle 142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04" name="Rectangle 142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05" name="Rectangle 142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06" name="Rectangle 142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07" name="Rectangle 142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08" name="Rectangle 142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09" name="Rectangle 142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10" name="Rectangle 142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11" name="Rectangle 142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12" name="Rectangle 142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13" name="Rectangle 143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14" name="Rectangle 143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15" name="Rectangle 143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16" name="Rectangle 143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17" name="Rectangle 143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18" name="Rectangle 143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19" name="Rectangle 143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20" name="Rectangle 143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21" name="Rectangle 143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22" name="Rectangle 143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23" name="Rectangle 144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24" name="Rectangle 144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25" name="Rectangle 144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26" name="Rectangle 144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27" name="Rectangle 144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28" name="Rectangle 144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29" name="Rectangle 144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630" name="Rectangle 144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6</xdr:row>
      <xdr:rowOff>0</xdr:rowOff>
    </xdr:from>
    <xdr:to>
      <xdr:col>17</xdr:col>
      <xdr:colOff>0</xdr:colOff>
      <xdr:row>6</xdr:row>
      <xdr:rowOff>0</xdr:rowOff>
    </xdr:to>
    <xdr:sp macro="" textlink="">
      <xdr:nvSpPr>
        <xdr:cNvPr id="51631" name="Line 1448"/>
        <xdr:cNvSpPr>
          <a:spLocks noChangeShapeType="1"/>
        </xdr:cNvSpPr>
      </xdr:nvSpPr>
      <xdr:spPr bwMode="auto">
        <a:xfrm>
          <a:off x="9782175" y="1352550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6</xdr:row>
      <xdr:rowOff>0</xdr:rowOff>
    </xdr:from>
    <xdr:to>
      <xdr:col>17</xdr:col>
      <xdr:colOff>0</xdr:colOff>
      <xdr:row>6</xdr:row>
      <xdr:rowOff>0</xdr:rowOff>
    </xdr:to>
    <xdr:sp macro="" textlink="">
      <xdr:nvSpPr>
        <xdr:cNvPr id="51632" name="Line 1449"/>
        <xdr:cNvSpPr>
          <a:spLocks noChangeShapeType="1"/>
        </xdr:cNvSpPr>
      </xdr:nvSpPr>
      <xdr:spPr bwMode="auto">
        <a:xfrm>
          <a:off x="9782175" y="1352550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33" name="Rectangle 145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34" name="Rectangle 145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35" name="Rectangle 145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36" name="Rectangle 145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637" name="Rectangle 145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638" name="Rectangle 145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639" name="Rectangle 145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640" name="Rectangle 145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641" name="Rectangle 145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642" name="Rectangle 145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643" name="Rectangle 146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644" name="Rectangle 146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45" name="Rectangle 146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46" name="Rectangle 146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47" name="Rectangle 146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48" name="Rectangle 146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49" name="Rectangle 146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50" name="Rectangle 146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51" name="Rectangle 146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52" name="Rectangle 146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53" name="Rectangle 147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54" name="Rectangle 147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55" name="Rectangle 147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56" name="Rectangle 147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57" name="Rectangle 147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58" name="Rectangle 147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59" name="Rectangle 147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60" name="Rectangle 147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61" name="Rectangle 147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62" name="Rectangle 147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63" name="Rectangle 148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64" name="Rectangle 148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65" name="Rectangle 148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66" name="Rectangle 148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67" name="Rectangle 148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68" name="Rectangle 148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69" name="Rectangle 148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70" name="Rectangle 148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71" name="Rectangle 148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72" name="Rectangle 148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73" name="Rectangle 149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74" name="Rectangle 149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75" name="Rectangle 149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76" name="Rectangle 149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677" name="Rectangle 149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678" name="Rectangle 149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679" name="Rectangle 149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680" name="Rectangle 149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81" name="Rectangle 149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82" name="Rectangle 149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83" name="Rectangle 150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84" name="Rectangle 150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85" name="Rectangle 150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86" name="Rectangle 150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87" name="Rectangle 150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88" name="Rectangle 150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89" name="Rectangle 150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90" name="Rectangle 150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91" name="Rectangle 150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92" name="Rectangle 150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93" name="Rectangle 151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94" name="Rectangle 151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95" name="Rectangle 151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96" name="Rectangle 151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97" name="Rectangle 151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98" name="Rectangle 151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699" name="Rectangle 151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700" name="Rectangle 151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701" name="Rectangle 151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702" name="Rectangle 151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703" name="Rectangle 152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704" name="Rectangle 152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705" name="Rectangle 152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706" name="Rectangle 152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707" name="Rectangle 152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708" name="Rectangle 152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709" name="Rectangle 152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710" name="Rectangle 152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711" name="Rectangle 152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712" name="Rectangle 152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13" name="Rectangle 153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14" name="Rectangle 153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15" name="Rectangle 153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16" name="Rectangle 153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17" name="Rectangle 153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18" name="Rectangle 153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19" name="Rectangle 153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20" name="Rectangle 153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721" name="Rectangle 153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722" name="Rectangle 153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723" name="Rectangle 154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724" name="Rectangle 154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25" name="Rectangle 154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26" name="Rectangle 154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27" name="Rectangle 154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28" name="Rectangle 154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29" name="Rectangle 154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30" name="Rectangle 154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31" name="Rectangle 154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32" name="Rectangle 154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33" name="Rectangle 155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34" name="Rectangle 155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35" name="Rectangle 155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36" name="Rectangle 155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37" name="Rectangle 155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38" name="Rectangle 155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39" name="Rectangle 155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40" name="Rectangle 155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41" name="Rectangle 155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42" name="Rectangle 155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43" name="Rectangle 156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44" name="Rectangle 156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45" name="Rectangle 156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46" name="Rectangle 156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47" name="Rectangle 156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48" name="Rectangle 156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49" name="Rectangle 156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50" name="Rectangle 156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51" name="Rectangle 156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52" name="Rectangle 156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53" name="Rectangle 157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54" name="Rectangle 157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55" name="Rectangle 157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56" name="Rectangle 157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57" name="Rectangle 157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58" name="Rectangle 157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59" name="Rectangle 157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60" name="Rectangle 157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61" name="Rectangle 157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62" name="Rectangle 157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63" name="Rectangle 158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64" name="Rectangle 158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65" name="Rectangle 158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66" name="Rectangle 158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67" name="Rectangle 158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68" name="Rectangle 158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69" name="Rectangle 158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70" name="Rectangle 158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71" name="Rectangle 158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72" name="Rectangle 158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73" name="Rectangle 159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74" name="Rectangle 159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75" name="Rectangle 159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76" name="Rectangle 159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77" name="Rectangle 159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78" name="Rectangle 159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79" name="Rectangle 159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80" name="Rectangle 159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81" name="Rectangle 159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82" name="Rectangle 159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83" name="Rectangle 160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84" name="Rectangle 160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85" name="Rectangle 160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86" name="Rectangle 160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87" name="Rectangle 160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88" name="Rectangle 160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89" name="Rectangle 160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90" name="Rectangle 160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91" name="Rectangle 160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92" name="Rectangle 160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93" name="Rectangle 161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94" name="Rectangle 161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95" name="Rectangle 161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96" name="Rectangle 161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97" name="Rectangle 161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98" name="Rectangle 161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799" name="Rectangle 161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00" name="Rectangle 161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01" name="Rectangle 161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02" name="Rectangle 161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03" name="Rectangle 162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04" name="Rectangle 162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05" name="Rectangle 162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06" name="Rectangle 162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07" name="Rectangle 162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08" name="Rectangle 162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09" name="Rectangle 162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10" name="Rectangle 162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11" name="Rectangle 162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12" name="Rectangle 162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13" name="Rectangle 163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14" name="Rectangle 163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15" name="Rectangle 163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16" name="Rectangle 163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17" name="Rectangle 163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18" name="Rectangle 163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19" name="Rectangle 163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20" name="Rectangle 163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21" name="Rectangle 163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22" name="Rectangle 163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23" name="Rectangle 164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24" name="Rectangle 164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25" name="Rectangle 164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26" name="Rectangle 164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27" name="Rectangle 164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28" name="Rectangle 164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29" name="Rectangle 164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30" name="Rectangle 164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31" name="Rectangle 164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32" name="Rectangle 164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33" name="Rectangle 165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34" name="Rectangle 165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35" name="Rectangle 165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36" name="Rectangle 165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37" name="Rectangle 165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38" name="Rectangle 165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39" name="Rectangle 165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40" name="Rectangle 165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41" name="Rectangle 165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42" name="Rectangle 165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43" name="Rectangle 166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44" name="Rectangle 166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45" name="Rectangle 166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46" name="Rectangle 166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47" name="Rectangle 166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48" name="Rectangle 166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49" name="Rectangle 166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50" name="Rectangle 166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51" name="Rectangle 166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52" name="Rectangle 166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53" name="Rectangle 167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54" name="Rectangle 167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55" name="Rectangle 167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56" name="Rectangle 167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57" name="Rectangle 167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58" name="Rectangle 167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59" name="Rectangle 167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60" name="Rectangle 167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61" name="Rectangle 167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62" name="Rectangle 167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63" name="Rectangle 168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64" name="Rectangle 168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65" name="Rectangle 168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66" name="Rectangle 168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67" name="Rectangle 168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68" name="Rectangle 168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69" name="Rectangle 168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70" name="Rectangle 168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71" name="Rectangle 168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72" name="Rectangle 168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73" name="Rectangle 169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74" name="Rectangle 169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75" name="Rectangle 169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76" name="Rectangle 169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77" name="Rectangle 169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78" name="Rectangle 169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79" name="Rectangle 169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80" name="Rectangle 169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81" name="Rectangle 169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82" name="Rectangle 169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83" name="Rectangle 170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84" name="Rectangle 170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85" name="Rectangle 170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86" name="Rectangle 170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87" name="Rectangle 170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88" name="Rectangle 170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889" name="Rectangle 170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890" name="Rectangle 170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891" name="Rectangle 170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892" name="Rectangle 170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93" name="Rectangle 171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94" name="Rectangle 171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95" name="Rectangle 171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96" name="Rectangle 171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97" name="Rectangle 171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98" name="Rectangle 171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899" name="Rectangle 171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00" name="Rectangle 171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01" name="Rectangle 171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02" name="Rectangle 171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03" name="Rectangle 172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04" name="Rectangle 172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05" name="Rectangle 172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06" name="Rectangle 172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07" name="Rectangle 172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08" name="Rectangle 172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09" name="Rectangle 172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10" name="Rectangle 172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11" name="Rectangle 172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12" name="Rectangle 172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13" name="Rectangle 173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14" name="Rectangle 173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15" name="Rectangle 173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16" name="Rectangle 173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17" name="Rectangle 173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18" name="Rectangle 173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19" name="Rectangle 173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20" name="Rectangle 173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21" name="Rectangle 173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22" name="Rectangle 173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23" name="Rectangle 1740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24" name="Rectangle 1741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25" name="Rectangle 1742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26" name="Rectangle 1743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27" name="Rectangle 1744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28" name="Rectangle 1745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29" name="Rectangle 1746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30" name="Rectangle 1747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31" name="Rectangle 1748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485775</xdr:rowOff>
    </xdr:from>
    <xdr:to>
      <xdr:col>13</xdr:col>
      <xdr:colOff>0</xdr:colOff>
      <xdr:row>5</xdr:row>
      <xdr:rowOff>485775</xdr:rowOff>
    </xdr:to>
    <xdr:sp macro="" textlink="">
      <xdr:nvSpPr>
        <xdr:cNvPr id="51932" name="Rectangle 1749"/>
        <xdr:cNvSpPr>
          <a:spLocks noChangeArrowheads="1"/>
        </xdr:cNvSpPr>
      </xdr:nvSpPr>
      <xdr:spPr bwMode="auto">
        <a:xfrm>
          <a:off x="73914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933" name="Rectangle 175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934" name="Rectangle 175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935" name="Rectangle 175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936" name="Rectangle 175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937" name="Rectangle 175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938" name="Rectangle 175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939" name="Rectangle 175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940" name="Rectangle 175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941" name="Rectangle 175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942" name="Rectangle 175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943" name="Rectangle 176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944" name="Rectangle 176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945" name="Rectangle 176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946" name="Rectangle 176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947" name="Rectangle 176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948" name="Rectangle 176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949" name="Rectangle 176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950" name="Rectangle 176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951" name="Rectangle 1768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952" name="Rectangle 1769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953" name="Rectangle 1770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954" name="Rectangle 1771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955" name="Rectangle 1772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956" name="Rectangle 1773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957" name="Rectangle 1774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958" name="Rectangle 1775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959" name="Rectangle 1776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485775</xdr:rowOff>
    </xdr:from>
    <xdr:to>
      <xdr:col>18</xdr:col>
      <xdr:colOff>0</xdr:colOff>
      <xdr:row>5</xdr:row>
      <xdr:rowOff>485775</xdr:rowOff>
    </xdr:to>
    <xdr:sp macro="" textlink="">
      <xdr:nvSpPr>
        <xdr:cNvPr id="51960" name="Rectangle 1777"/>
        <xdr:cNvSpPr>
          <a:spLocks noChangeArrowheads="1"/>
        </xdr:cNvSpPr>
      </xdr:nvSpPr>
      <xdr:spPr bwMode="auto">
        <a:xfrm>
          <a:off x="1045845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6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51961" name="Line 1778"/>
        <xdr:cNvSpPr>
          <a:spLocks noChangeShapeType="1"/>
        </xdr:cNvSpPr>
      </xdr:nvSpPr>
      <xdr:spPr bwMode="auto">
        <a:xfrm>
          <a:off x="10458450" y="1352550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6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51962" name="Line 1779"/>
        <xdr:cNvSpPr>
          <a:spLocks noChangeShapeType="1"/>
        </xdr:cNvSpPr>
      </xdr:nvSpPr>
      <xdr:spPr bwMode="auto">
        <a:xfrm>
          <a:off x="10458450" y="1352550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63" name="Rectangle 178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64" name="Rectangle 178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65" name="Rectangle 178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66" name="Rectangle 178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67" name="Rectangle 178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68" name="Rectangle 178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69" name="Rectangle 178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70" name="Rectangle 178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71" name="Rectangle 178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72" name="Rectangle 178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73" name="Rectangle 179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74" name="Rectangle 179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75" name="Rectangle 179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76" name="Rectangle 179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77" name="Rectangle 179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78" name="Rectangle 179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79" name="Rectangle 179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80" name="Rectangle 179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81" name="Rectangle 179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82" name="Rectangle 179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83" name="Rectangle 180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84" name="Rectangle 180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85" name="Rectangle 180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86" name="Rectangle 180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87" name="Rectangle 180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88" name="Rectangle 180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89" name="Rectangle 180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90" name="Rectangle 180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91" name="Rectangle 180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92" name="Rectangle 180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93" name="Rectangle 181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94" name="Rectangle 181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95" name="Rectangle 181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96" name="Rectangle 181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97" name="Rectangle 181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98" name="Rectangle 181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1999" name="Rectangle 181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00" name="Rectangle 181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01" name="Rectangle 181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02" name="Rectangle 181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03" name="Rectangle 182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04" name="Rectangle 182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05" name="Rectangle 182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06" name="Rectangle 182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07" name="Rectangle 182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08" name="Rectangle 182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09" name="Rectangle 182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10" name="Rectangle 182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11" name="Rectangle 182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12" name="Rectangle 182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13" name="Rectangle 183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14" name="Rectangle 183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15" name="Rectangle 183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16" name="Rectangle 183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17" name="Rectangle 183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18" name="Rectangle 183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19" name="Rectangle 183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20" name="Rectangle 183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21" name="Rectangle 183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22" name="Rectangle 183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23" name="Rectangle 184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24" name="Rectangle 184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25" name="Rectangle 184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26" name="Rectangle 184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27" name="Rectangle 184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28" name="Rectangle 184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29" name="Rectangle 184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30" name="Rectangle 184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31" name="Rectangle 184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32" name="Rectangle 184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33" name="Rectangle 185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34" name="Rectangle 185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35" name="Rectangle 185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36" name="Rectangle 185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37" name="Rectangle 185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38" name="Rectangle 185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39" name="Rectangle 185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40" name="Rectangle 185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41" name="Rectangle 185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42" name="Rectangle 185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43" name="Rectangle 186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44" name="Rectangle 186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45" name="Rectangle 186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46" name="Rectangle 186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47" name="Rectangle 186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48" name="Rectangle 186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49" name="Rectangle 186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50" name="Rectangle 186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51" name="Rectangle 186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52" name="Rectangle 186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53" name="Rectangle 187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54" name="Rectangle 187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55" name="Rectangle 187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56" name="Rectangle 187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57" name="Rectangle 187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58" name="Rectangle 187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59" name="Rectangle 187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60" name="Rectangle 187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61" name="Rectangle 1878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62" name="Rectangle 1879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63" name="Rectangle 1880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64" name="Rectangle 1881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65" name="Rectangle 1882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66" name="Rectangle 1883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67" name="Rectangle 1884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68" name="Rectangle 1885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69" name="Rectangle 1886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485775</xdr:rowOff>
    </xdr:from>
    <xdr:to>
      <xdr:col>17</xdr:col>
      <xdr:colOff>0</xdr:colOff>
      <xdr:row>5</xdr:row>
      <xdr:rowOff>485775</xdr:rowOff>
    </xdr:to>
    <xdr:sp macro="" textlink="">
      <xdr:nvSpPr>
        <xdr:cNvPr id="52070" name="Rectangle 1887"/>
        <xdr:cNvSpPr>
          <a:spLocks noChangeArrowheads="1"/>
        </xdr:cNvSpPr>
      </xdr:nvSpPr>
      <xdr:spPr bwMode="auto">
        <a:xfrm>
          <a:off x="9782175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6</xdr:row>
      <xdr:rowOff>0</xdr:rowOff>
    </xdr:from>
    <xdr:to>
      <xdr:col>17</xdr:col>
      <xdr:colOff>0</xdr:colOff>
      <xdr:row>6</xdr:row>
      <xdr:rowOff>0</xdr:rowOff>
    </xdr:to>
    <xdr:sp macro="" textlink="">
      <xdr:nvSpPr>
        <xdr:cNvPr id="52071" name="Line 1888"/>
        <xdr:cNvSpPr>
          <a:spLocks noChangeShapeType="1"/>
        </xdr:cNvSpPr>
      </xdr:nvSpPr>
      <xdr:spPr bwMode="auto">
        <a:xfrm>
          <a:off x="9782175" y="1352550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6</xdr:row>
      <xdr:rowOff>0</xdr:rowOff>
    </xdr:from>
    <xdr:to>
      <xdr:col>17</xdr:col>
      <xdr:colOff>0</xdr:colOff>
      <xdr:row>6</xdr:row>
      <xdr:rowOff>0</xdr:rowOff>
    </xdr:to>
    <xdr:sp macro="" textlink="">
      <xdr:nvSpPr>
        <xdr:cNvPr id="52072" name="Line 1889"/>
        <xdr:cNvSpPr>
          <a:spLocks noChangeShapeType="1"/>
        </xdr:cNvSpPr>
      </xdr:nvSpPr>
      <xdr:spPr bwMode="auto">
        <a:xfrm>
          <a:off x="9782175" y="1352550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073" name="Rectangle 13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074" name="Rectangle 13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075" name="Rectangle 13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076" name="Rectangle 13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077" name="Rectangle 14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078" name="Rectangle 14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079" name="Rectangle 14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080" name="Rectangle 14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081" name="Rectangle 14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082" name="Rectangle 14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083" name="Rectangle 14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084" name="Rectangle 14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085" name="Rectangle 15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086" name="Rectangle 15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087" name="Rectangle 15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088" name="Rectangle 15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089" name="Rectangle 15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090" name="Rectangle 15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091" name="Rectangle 15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092" name="Rectangle 15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093" name="Rectangle 15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094" name="Rectangle 15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095" name="Rectangle 16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096" name="Rectangle 16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097" name="Rectangle 16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098" name="Rectangle 16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099" name="Rectangle 16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00" name="Rectangle 16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01" name="Rectangle 16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02" name="Rectangle 16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03" name="Rectangle 16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04" name="Rectangle 16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05" name="Rectangle 17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06" name="Rectangle 17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07" name="Rectangle 17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08" name="Rectangle 17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09" name="Rectangle 17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10" name="Rectangle 17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11" name="Rectangle 18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12" name="Rectangle 18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13" name="Rectangle 18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14" name="Rectangle 18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15" name="Rectangle 18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16" name="Rectangle 18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17" name="Rectangle 18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18" name="Rectangle 18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19" name="Rectangle 18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20" name="Rectangle 18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21" name="Rectangle 19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22" name="Rectangle 19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23" name="Rectangle 19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24" name="Rectangle 19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25" name="Rectangle 19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26" name="Rectangle 19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27" name="Rectangle 19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28" name="Rectangle 19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29" name="Rectangle 19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30" name="Rectangle 19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31" name="Rectangle 20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32" name="Rectangle 20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33" name="Rectangle 20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34" name="Rectangle 20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35" name="Rectangle 20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36" name="Rectangle 20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37" name="Rectangle 20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38" name="Rectangle 20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39" name="Rectangle 20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40" name="Rectangle 20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41" name="Rectangle 21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42" name="Rectangle 21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43" name="Rectangle 22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44" name="Rectangle 22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45" name="Rectangle 38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46" name="Rectangle 38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47" name="Rectangle 38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48" name="Rectangle 38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49" name="Rectangle 43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50" name="Rectangle 43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51" name="Rectangle 43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52" name="Rectangle 43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53" name="Rectangle 43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54" name="Rectangle 43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55" name="Rectangle 43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56" name="Rectangle 43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57" name="Rectangle 43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58" name="Rectangle 43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59" name="Rectangle 44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60" name="Rectangle 44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61" name="Rectangle 44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62" name="Rectangle 44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63" name="Rectangle 44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64" name="Rectangle 44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65" name="Rectangle 44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66" name="Rectangle 44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67" name="Rectangle 44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68" name="Rectangle 44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69" name="Rectangle 45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70" name="Rectangle 45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71" name="Rectangle 45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72" name="Rectangle 45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73" name="Rectangle 45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74" name="Rectangle 45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75" name="Rectangle 45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76" name="Rectangle 45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77" name="Line 458"/>
        <xdr:cNvSpPr>
          <a:spLocks noChangeShapeType="1"/>
        </xdr:cNvSpPr>
      </xdr:nvSpPr>
      <xdr:spPr bwMode="auto">
        <a:xfrm>
          <a:off x="12115800" y="1352550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78" name="Line 459"/>
        <xdr:cNvSpPr>
          <a:spLocks noChangeShapeType="1"/>
        </xdr:cNvSpPr>
      </xdr:nvSpPr>
      <xdr:spPr bwMode="auto">
        <a:xfrm>
          <a:off x="12115800" y="1352550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79" name="Rectangle 57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80" name="Rectangle 57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81" name="Rectangle 57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82" name="Rectangle 57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83" name="Rectangle 58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84" name="Rectangle 58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85" name="Rectangle 58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86" name="Rectangle 58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87" name="Rectangle 58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88" name="Rectangle 58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89" name="Rectangle 58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90" name="Rectangle 58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91" name="Rectangle 59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92" name="Rectangle 59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93" name="Rectangle 59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94" name="Rectangle 59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95" name="Rectangle 59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96" name="Rectangle 59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97" name="Rectangle 59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98" name="Rectangle 59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199" name="Rectangle 59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00" name="Rectangle 59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01" name="Rectangle 60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02" name="Rectangle 60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03" name="Rectangle 60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04" name="Rectangle 60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05" name="Rectangle 60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06" name="Rectangle 60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07" name="Rectangle 60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08" name="Rectangle 60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09" name="Rectangle 60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10" name="Rectangle 60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11" name="Rectangle 61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12" name="Rectangle 61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13" name="Rectangle 61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14" name="Rectangle 61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15" name="Rectangle 61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16" name="Rectangle 61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17" name="Rectangle 62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18" name="Rectangle 62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19" name="Rectangle 62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20" name="Rectangle 62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21" name="Rectangle 62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22" name="Rectangle 62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23" name="Rectangle 62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24" name="Rectangle 62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25" name="Rectangle 62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26" name="Rectangle 62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27" name="Rectangle 63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28" name="Rectangle 63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29" name="Rectangle 63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30" name="Rectangle 63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31" name="Rectangle 63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32" name="Rectangle 63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33" name="Rectangle 63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34" name="Rectangle 63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35" name="Rectangle 63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36" name="Rectangle 63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37" name="Rectangle 64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38" name="Rectangle 64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39" name="Rectangle 64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40" name="Rectangle 64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41" name="Rectangle 64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42" name="Rectangle 64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43" name="Rectangle 64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44" name="Rectangle 64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45" name="Rectangle 64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46" name="Rectangle 64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47" name="Rectangle 65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48" name="Rectangle 65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49" name="Rectangle 66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50" name="Rectangle 66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51" name="Rectangle 82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52" name="Rectangle 82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53" name="Rectangle 82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54" name="Rectangle 82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55" name="Rectangle 87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56" name="Rectangle 87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57" name="Rectangle 87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58" name="Rectangle 87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59" name="Rectangle 87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60" name="Rectangle 87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61" name="Rectangle 87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62" name="Rectangle 87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63" name="Rectangle 87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64" name="Rectangle 87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65" name="Rectangle 88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66" name="Rectangle 88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67" name="Rectangle 88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68" name="Rectangle 88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69" name="Rectangle 88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70" name="Rectangle 88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71" name="Rectangle 88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72" name="Rectangle 88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73" name="Rectangle 88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74" name="Rectangle 88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75" name="Rectangle 89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76" name="Rectangle 89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77" name="Rectangle 89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78" name="Rectangle 89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79" name="Rectangle 89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80" name="Rectangle 89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81" name="Rectangle 89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82" name="Rectangle 89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83" name="Line 898"/>
        <xdr:cNvSpPr>
          <a:spLocks noChangeShapeType="1"/>
        </xdr:cNvSpPr>
      </xdr:nvSpPr>
      <xdr:spPr bwMode="auto">
        <a:xfrm>
          <a:off x="12115800" y="1352550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84" name="Line 899"/>
        <xdr:cNvSpPr>
          <a:spLocks noChangeShapeType="1"/>
        </xdr:cNvSpPr>
      </xdr:nvSpPr>
      <xdr:spPr bwMode="auto">
        <a:xfrm>
          <a:off x="12115800" y="1352550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85" name="Rectangle 101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86" name="Rectangle 101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87" name="Rectangle 101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88" name="Rectangle 101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89" name="Rectangle 102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90" name="Rectangle 102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91" name="Rectangle 102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92" name="Rectangle 102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93" name="Rectangle 102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94" name="Rectangle 102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95" name="Rectangle 102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96" name="Rectangle 102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97" name="Rectangle 103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98" name="Rectangle 103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299" name="Rectangle 103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00" name="Rectangle 103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01" name="Rectangle 103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02" name="Rectangle 103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03" name="Rectangle 103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04" name="Rectangle 103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05" name="Rectangle 103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06" name="Rectangle 103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07" name="Rectangle 104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08" name="Rectangle 104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09" name="Rectangle 104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10" name="Rectangle 104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11" name="Rectangle 104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12" name="Rectangle 104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13" name="Rectangle 104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14" name="Rectangle 104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15" name="Rectangle 104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16" name="Rectangle 104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17" name="Rectangle 105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18" name="Rectangle 105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19" name="Rectangle 105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20" name="Rectangle 105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21" name="Rectangle 105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22" name="Rectangle 105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23" name="Rectangle 106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24" name="Rectangle 106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25" name="Rectangle 106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26" name="Rectangle 106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27" name="Rectangle 106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28" name="Rectangle 106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29" name="Rectangle 106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30" name="Rectangle 106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31" name="Rectangle 106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32" name="Rectangle 106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33" name="Rectangle 107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34" name="Rectangle 107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35" name="Rectangle 107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36" name="Rectangle 107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37" name="Rectangle 107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38" name="Rectangle 107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39" name="Rectangle 107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40" name="Rectangle 107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41" name="Rectangle 107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42" name="Rectangle 107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43" name="Rectangle 108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44" name="Rectangle 108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45" name="Rectangle 108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46" name="Rectangle 108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47" name="Rectangle 108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48" name="Rectangle 108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49" name="Rectangle 108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50" name="Rectangle 108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51" name="Rectangle 108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52" name="Rectangle 108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53" name="Rectangle 109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54" name="Rectangle 109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55" name="Rectangle 110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56" name="Rectangle 110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57" name="Rectangle 126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58" name="Rectangle 126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59" name="Rectangle 126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60" name="Rectangle 126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61" name="Rectangle 131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62" name="Rectangle 131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63" name="Rectangle 131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64" name="Rectangle 131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65" name="Rectangle 131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66" name="Rectangle 131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67" name="Rectangle 131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68" name="Rectangle 131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69" name="Rectangle 131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70" name="Rectangle 131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71" name="Rectangle 132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72" name="Rectangle 132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73" name="Rectangle 132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74" name="Rectangle 132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75" name="Rectangle 132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76" name="Rectangle 132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77" name="Rectangle 132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78" name="Rectangle 132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79" name="Rectangle 132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80" name="Rectangle 132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81" name="Rectangle 133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82" name="Rectangle 133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83" name="Rectangle 133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84" name="Rectangle 133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85" name="Rectangle 133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86" name="Rectangle 133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87" name="Rectangle 133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88" name="Rectangle 133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89" name="Line 1338"/>
        <xdr:cNvSpPr>
          <a:spLocks noChangeShapeType="1"/>
        </xdr:cNvSpPr>
      </xdr:nvSpPr>
      <xdr:spPr bwMode="auto">
        <a:xfrm>
          <a:off x="12115800" y="1352550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90" name="Line 1339"/>
        <xdr:cNvSpPr>
          <a:spLocks noChangeShapeType="1"/>
        </xdr:cNvSpPr>
      </xdr:nvSpPr>
      <xdr:spPr bwMode="auto">
        <a:xfrm>
          <a:off x="12115800" y="1352550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91" name="Rectangle 145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92" name="Rectangle 145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93" name="Rectangle 145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94" name="Rectangle 145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95" name="Rectangle 146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96" name="Rectangle 146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97" name="Rectangle 146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98" name="Rectangle 146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399" name="Rectangle 146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00" name="Rectangle 146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01" name="Rectangle 146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02" name="Rectangle 146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03" name="Rectangle 147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04" name="Rectangle 147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05" name="Rectangle 147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06" name="Rectangle 147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07" name="Rectangle 147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08" name="Rectangle 147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09" name="Rectangle 147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10" name="Rectangle 147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11" name="Rectangle 147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12" name="Rectangle 147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13" name="Rectangle 148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14" name="Rectangle 148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15" name="Rectangle 148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16" name="Rectangle 148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17" name="Rectangle 148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18" name="Rectangle 148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19" name="Rectangle 148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20" name="Rectangle 148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21" name="Rectangle 148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22" name="Rectangle 148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23" name="Rectangle 149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24" name="Rectangle 149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25" name="Rectangle 149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26" name="Rectangle 149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27" name="Rectangle 149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28" name="Rectangle 149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29" name="Rectangle 150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30" name="Rectangle 150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31" name="Rectangle 150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32" name="Rectangle 150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33" name="Rectangle 150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34" name="Rectangle 150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35" name="Rectangle 150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36" name="Rectangle 150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37" name="Rectangle 150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38" name="Rectangle 150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39" name="Rectangle 151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40" name="Rectangle 151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41" name="Rectangle 151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42" name="Rectangle 151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43" name="Rectangle 151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44" name="Rectangle 151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45" name="Rectangle 151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46" name="Rectangle 151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47" name="Rectangle 151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48" name="Rectangle 151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49" name="Rectangle 152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50" name="Rectangle 152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51" name="Rectangle 152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52" name="Rectangle 152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53" name="Rectangle 152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54" name="Rectangle 152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55" name="Rectangle 152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56" name="Rectangle 152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57" name="Rectangle 152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58" name="Rectangle 152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59" name="Rectangle 153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60" name="Rectangle 153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61" name="Rectangle 154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62" name="Rectangle 154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63" name="Rectangle 170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64" name="Rectangle 170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65" name="Rectangle 170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66" name="Rectangle 170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67" name="Rectangle 175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68" name="Rectangle 175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69" name="Rectangle 175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70" name="Rectangle 175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71" name="Rectangle 175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72" name="Rectangle 175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73" name="Rectangle 175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74" name="Rectangle 175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75" name="Rectangle 175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76" name="Rectangle 175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77" name="Rectangle 176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78" name="Rectangle 176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79" name="Rectangle 176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80" name="Rectangle 176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81" name="Rectangle 176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82" name="Rectangle 176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83" name="Rectangle 176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84" name="Rectangle 176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85" name="Rectangle 1768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86" name="Rectangle 1769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87" name="Rectangle 1770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88" name="Rectangle 1771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89" name="Rectangle 1772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90" name="Rectangle 1773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91" name="Rectangle 1774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92" name="Rectangle 1775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93" name="Rectangle 1776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94" name="Rectangle 1777"/>
        <xdr:cNvSpPr>
          <a:spLocks noChangeArrowheads="1"/>
        </xdr:cNvSpPr>
      </xdr:nvSpPr>
      <xdr:spPr bwMode="auto">
        <a:xfrm>
          <a:off x="12115800" y="13525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95" name="Line 1778"/>
        <xdr:cNvSpPr>
          <a:spLocks noChangeShapeType="1"/>
        </xdr:cNvSpPr>
      </xdr:nvSpPr>
      <xdr:spPr bwMode="auto">
        <a:xfrm>
          <a:off x="12115800" y="1352550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52496" name="Line 1779"/>
        <xdr:cNvSpPr>
          <a:spLocks noChangeShapeType="1"/>
        </xdr:cNvSpPr>
      </xdr:nvSpPr>
      <xdr:spPr bwMode="auto">
        <a:xfrm>
          <a:off x="12115800" y="1352550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44</xdr:row>
      <xdr:rowOff>0</xdr:rowOff>
    </xdr:from>
    <xdr:to>
      <xdr:col>15</xdr:col>
      <xdr:colOff>0</xdr:colOff>
      <xdr:row>44</xdr:row>
      <xdr:rowOff>0</xdr:rowOff>
    </xdr:to>
    <xdr:sp macro="" textlink="">
      <xdr:nvSpPr>
        <xdr:cNvPr id="50213" name="Line 18"/>
        <xdr:cNvSpPr>
          <a:spLocks noChangeShapeType="1"/>
        </xdr:cNvSpPr>
      </xdr:nvSpPr>
      <xdr:spPr bwMode="auto">
        <a:xfrm>
          <a:off x="15687675" y="4333875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44</xdr:row>
      <xdr:rowOff>0</xdr:rowOff>
    </xdr:from>
    <xdr:to>
      <xdr:col>15</xdr:col>
      <xdr:colOff>0</xdr:colOff>
      <xdr:row>44</xdr:row>
      <xdr:rowOff>0</xdr:rowOff>
    </xdr:to>
    <xdr:sp macro="" textlink="">
      <xdr:nvSpPr>
        <xdr:cNvPr id="50214" name="Line 28"/>
        <xdr:cNvSpPr>
          <a:spLocks noChangeShapeType="1"/>
        </xdr:cNvSpPr>
      </xdr:nvSpPr>
      <xdr:spPr bwMode="auto">
        <a:xfrm>
          <a:off x="15687675" y="4333875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44</xdr:row>
      <xdr:rowOff>0</xdr:rowOff>
    </xdr:from>
    <xdr:to>
      <xdr:col>15</xdr:col>
      <xdr:colOff>0</xdr:colOff>
      <xdr:row>44</xdr:row>
      <xdr:rowOff>0</xdr:rowOff>
    </xdr:to>
    <xdr:sp macro="" textlink="">
      <xdr:nvSpPr>
        <xdr:cNvPr id="50215" name="Line 46"/>
        <xdr:cNvSpPr>
          <a:spLocks noChangeShapeType="1"/>
        </xdr:cNvSpPr>
      </xdr:nvSpPr>
      <xdr:spPr bwMode="auto">
        <a:xfrm>
          <a:off x="15687675" y="4333875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44</xdr:row>
      <xdr:rowOff>0</xdr:rowOff>
    </xdr:from>
    <xdr:to>
      <xdr:col>15</xdr:col>
      <xdr:colOff>0</xdr:colOff>
      <xdr:row>44</xdr:row>
      <xdr:rowOff>0</xdr:rowOff>
    </xdr:to>
    <xdr:sp macro="" textlink="">
      <xdr:nvSpPr>
        <xdr:cNvPr id="50216" name="Line 47"/>
        <xdr:cNvSpPr>
          <a:spLocks noChangeShapeType="1"/>
        </xdr:cNvSpPr>
      </xdr:nvSpPr>
      <xdr:spPr bwMode="auto">
        <a:xfrm>
          <a:off x="15687675" y="4333875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44</xdr:row>
      <xdr:rowOff>0</xdr:rowOff>
    </xdr:from>
    <xdr:to>
      <xdr:col>15</xdr:col>
      <xdr:colOff>0</xdr:colOff>
      <xdr:row>44</xdr:row>
      <xdr:rowOff>0</xdr:rowOff>
    </xdr:to>
    <xdr:sp macro="" textlink="">
      <xdr:nvSpPr>
        <xdr:cNvPr id="50217" name="Line 48"/>
        <xdr:cNvSpPr>
          <a:spLocks noChangeShapeType="1"/>
        </xdr:cNvSpPr>
      </xdr:nvSpPr>
      <xdr:spPr bwMode="auto">
        <a:xfrm>
          <a:off x="15687675" y="4333875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44</xdr:row>
      <xdr:rowOff>0</xdr:rowOff>
    </xdr:from>
    <xdr:to>
      <xdr:col>15</xdr:col>
      <xdr:colOff>0</xdr:colOff>
      <xdr:row>44</xdr:row>
      <xdr:rowOff>0</xdr:rowOff>
    </xdr:to>
    <xdr:sp macro="" textlink="">
      <xdr:nvSpPr>
        <xdr:cNvPr id="50218" name="Line 49"/>
        <xdr:cNvSpPr>
          <a:spLocks noChangeShapeType="1"/>
        </xdr:cNvSpPr>
      </xdr:nvSpPr>
      <xdr:spPr bwMode="auto">
        <a:xfrm>
          <a:off x="15687675" y="4333875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19" name="Rectangle 13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20" name="Rectangle 13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21" name="Rectangle 13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22" name="Rectangle 13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223" name="Rectangle 13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224" name="Rectangle 13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225" name="Rectangle 13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226" name="Rectangle 13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227" name="Rectangle 13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228" name="Rectangle 13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229" name="Rectangle 14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230" name="Rectangle 14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31" name="Rectangle 14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32" name="Rectangle 14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33" name="Rectangle 14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34" name="Rectangle 14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35" name="Rectangle 14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36" name="Rectangle 14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37" name="Rectangle 14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38" name="Rectangle 14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39" name="Rectangle 15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40" name="Rectangle 15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41" name="Rectangle 15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42" name="Rectangle 15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43" name="Rectangle 15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44" name="Rectangle 15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45" name="Rectangle 15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46" name="Rectangle 15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47" name="Rectangle 15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48" name="Rectangle 15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49" name="Rectangle 16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50" name="Rectangle 16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51" name="Rectangle 16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52" name="Rectangle 16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53" name="Rectangle 16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54" name="Rectangle 16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55" name="Rectangle 16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56" name="Rectangle 16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57" name="Rectangle 16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58" name="Rectangle 16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59" name="Rectangle 17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60" name="Rectangle 17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61" name="Rectangle 17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62" name="Rectangle 17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263" name="Rectangle 17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264" name="Rectangle 17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265" name="Rectangle 17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266" name="Rectangle 17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67" name="Rectangle 17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68" name="Rectangle 17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69" name="Rectangle 18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70" name="Rectangle 18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71" name="Rectangle 18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72" name="Rectangle 18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73" name="Rectangle 18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74" name="Rectangle 18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75" name="Rectangle 18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76" name="Rectangle 18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77" name="Rectangle 18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78" name="Rectangle 18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79" name="Rectangle 19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80" name="Rectangle 19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81" name="Rectangle 19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82" name="Rectangle 19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83" name="Rectangle 19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84" name="Rectangle 19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85" name="Rectangle 19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86" name="Rectangle 19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87" name="Rectangle 19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88" name="Rectangle 19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89" name="Rectangle 20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90" name="Rectangle 20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91" name="Rectangle 20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92" name="Rectangle 20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93" name="Rectangle 20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94" name="Rectangle 20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95" name="Rectangle 20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96" name="Rectangle 20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97" name="Rectangle 20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298" name="Rectangle 20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299" name="Rectangle 21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00" name="Rectangle 21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01" name="Rectangle 21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02" name="Rectangle 21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03" name="Rectangle 21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04" name="Rectangle 21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05" name="Rectangle 21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06" name="Rectangle 21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307" name="Rectangle 21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308" name="Rectangle 21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309" name="Rectangle 22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310" name="Rectangle 22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11" name="Rectangle 22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12" name="Rectangle 22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13" name="Rectangle 22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14" name="Rectangle 22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15" name="Rectangle 22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16" name="Rectangle 22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17" name="Rectangle 22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18" name="Rectangle 22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19" name="Rectangle 23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20" name="Rectangle 23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21" name="Rectangle 23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22" name="Rectangle 23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23" name="Rectangle 23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24" name="Rectangle 23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25" name="Rectangle 23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26" name="Rectangle 23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27" name="Rectangle 23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28" name="Rectangle 23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29" name="Rectangle 24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30" name="Rectangle 24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31" name="Rectangle 24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32" name="Rectangle 24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33" name="Rectangle 24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34" name="Rectangle 24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35" name="Rectangle 24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36" name="Rectangle 24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37" name="Rectangle 24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38" name="Rectangle 24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39" name="Rectangle 25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40" name="Rectangle 25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41" name="Rectangle 25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42" name="Rectangle 25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43" name="Rectangle 25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44" name="Rectangle 25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45" name="Rectangle 25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46" name="Rectangle 25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47" name="Rectangle 25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48" name="Rectangle 25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49" name="Rectangle 26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50" name="Rectangle 26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51" name="Rectangle 26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52" name="Rectangle 26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53" name="Rectangle 26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54" name="Rectangle 26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55" name="Rectangle 26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56" name="Rectangle 26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57" name="Rectangle 26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58" name="Rectangle 26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59" name="Rectangle 27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60" name="Rectangle 27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61" name="Rectangle 27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62" name="Rectangle 27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63" name="Rectangle 27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64" name="Rectangle 27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65" name="Rectangle 27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66" name="Rectangle 27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67" name="Rectangle 27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68" name="Rectangle 27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69" name="Rectangle 28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70" name="Rectangle 28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71" name="Rectangle 28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72" name="Rectangle 28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73" name="Rectangle 28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74" name="Rectangle 28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75" name="Rectangle 28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76" name="Rectangle 28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77" name="Rectangle 28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78" name="Rectangle 28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79" name="Rectangle 29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80" name="Rectangle 29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81" name="Rectangle 29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82" name="Rectangle 29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83" name="Rectangle 29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84" name="Rectangle 29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85" name="Rectangle 29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86" name="Rectangle 29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87" name="Rectangle 29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88" name="Rectangle 29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89" name="Rectangle 30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90" name="Rectangle 30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91" name="Rectangle 30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92" name="Rectangle 30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93" name="Rectangle 30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94" name="Rectangle 30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95" name="Rectangle 30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96" name="Rectangle 30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97" name="Rectangle 30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98" name="Rectangle 30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399" name="Rectangle 31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00" name="Rectangle 31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01" name="Rectangle 31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02" name="Rectangle 31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03" name="Rectangle 31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04" name="Rectangle 31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05" name="Rectangle 31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06" name="Rectangle 31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07" name="Rectangle 31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08" name="Rectangle 31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09" name="Rectangle 32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10" name="Rectangle 32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11" name="Rectangle 32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12" name="Rectangle 32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13" name="Rectangle 32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14" name="Rectangle 32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15" name="Rectangle 32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16" name="Rectangle 32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17" name="Rectangle 32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18" name="Rectangle 32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19" name="Rectangle 33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20" name="Rectangle 33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21" name="Rectangle 33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22" name="Rectangle 33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23" name="Rectangle 33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24" name="Rectangle 33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25" name="Rectangle 33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26" name="Rectangle 33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27" name="Rectangle 33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28" name="Rectangle 33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29" name="Rectangle 34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30" name="Rectangle 34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31" name="Rectangle 34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32" name="Rectangle 34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33" name="Rectangle 34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34" name="Rectangle 34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35" name="Rectangle 34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36" name="Rectangle 34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37" name="Rectangle 34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38" name="Rectangle 34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39" name="Rectangle 35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40" name="Rectangle 35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41" name="Rectangle 35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42" name="Rectangle 35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43" name="Rectangle 35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44" name="Rectangle 35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45" name="Rectangle 35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46" name="Rectangle 35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47" name="Rectangle 35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48" name="Rectangle 35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49" name="Rectangle 36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50" name="Rectangle 36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51" name="Rectangle 36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52" name="Rectangle 36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53" name="Rectangle 36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54" name="Rectangle 36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55" name="Rectangle 36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56" name="Rectangle 36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57" name="Rectangle 36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58" name="Rectangle 36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59" name="Rectangle 37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60" name="Rectangle 37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61" name="Rectangle 37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62" name="Rectangle 37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63" name="Rectangle 37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64" name="Rectangle 37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65" name="Rectangle 37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66" name="Rectangle 37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67" name="Rectangle 37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68" name="Rectangle 37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69" name="Rectangle 38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70" name="Rectangle 38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71" name="Rectangle 38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72" name="Rectangle 38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73" name="Rectangle 38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74" name="Rectangle 38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475" name="Rectangle 38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476" name="Rectangle 38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477" name="Rectangle 38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478" name="Rectangle 38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79" name="Rectangle 39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80" name="Rectangle 39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81" name="Rectangle 39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82" name="Rectangle 39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83" name="Rectangle 39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84" name="Rectangle 39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85" name="Rectangle 39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86" name="Rectangle 39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87" name="Rectangle 39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88" name="Rectangle 39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89" name="Rectangle 40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90" name="Rectangle 40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91" name="Rectangle 40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92" name="Rectangle 40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93" name="Rectangle 40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94" name="Rectangle 40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95" name="Rectangle 40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96" name="Rectangle 40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97" name="Rectangle 40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98" name="Rectangle 40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499" name="Rectangle 41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500" name="Rectangle 41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501" name="Rectangle 41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502" name="Rectangle 41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503" name="Rectangle 41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504" name="Rectangle 41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505" name="Rectangle 41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506" name="Rectangle 41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507" name="Rectangle 41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508" name="Rectangle 41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509" name="Rectangle 42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510" name="Rectangle 42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511" name="Rectangle 42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512" name="Rectangle 42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513" name="Rectangle 42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514" name="Rectangle 42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515" name="Rectangle 42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516" name="Rectangle 42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517" name="Rectangle 42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518" name="Rectangle 42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519" name="Rectangle 43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520" name="Rectangle 43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521" name="Rectangle 43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522" name="Rectangle 43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523" name="Rectangle 43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524" name="Rectangle 43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525" name="Rectangle 43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526" name="Rectangle 43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527" name="Rectangle 43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528" name="Rectangle 43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529" name="Rectangle 44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530" name="Rectangle 44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531" name="Rectangle 44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532" name="Rectangle 44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533" name="Rectangle 44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534" name="Rectangle 44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535" name="Rectangle 44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536" name="Rectangle 44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537" name="Rectangle 44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538" name="Rectangle 44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539" name="Rectangle 45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540" name="Rectangle 45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541" name="Rectangle 45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542" name="Rectangle 45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543" name="Rectangle 45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544" name="Rectangle 45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545" name="Rectangle 45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546" name="Rectangle 45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0</xdr:rowOff>
    </xdr:from>
    <xdr:to>
      <xdr:col>17</xdr:col>
      <xdr:colOff>0</xdr:colOff>
      <xdr:row>5</xdr:row>
      <xdr:rowOff>0</xdr:rowOff>
    </xdr:to>
    <xdr:sp macro="" textlink="">
      <xdr:nvSpPr>
        <xdr:cNvPr id="50547" name="Line 458"/>
        <xdr:cNvSpPr>
          <a:spLocks noChangeShapeType="1"/>
        </xdr:cNvSpPr>
      </xdr:nvSpPr>
      <xdr:spPr bwMode="auto">
        <a:xfrm>
          <a:off x="17564100" y="1476375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0</xdr:rowOff>
    </xdr:from>
    <xdr:to>
      <xdr:col>17</xdr:col>
      <xdr:colOff>0</xdr:colOff>
      <xdr:row>5</xdr:row>
      <xdr:rowOff>0</xdr:rowOff>
    </xdr:to>
    <xdr:sp macro="" textlink="">
      <xdr:nvSpPr>
        <xdr:cNvPr id="50548" name="Line 459"/>
        <xdr:cNvSpPr>
          <a:spLocks noChangeShapeType="1"/>
        </xdr:cNvSpPr>
      </xdr:nvSpPr>
      <xdr:spPr bwMode="auto">
        <a:xfrm>
          <a:off x="17564100" y="1476375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49" name="Rectangle 46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50" name="Rectangle 46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51" name="Rectangle 46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52" name="Rectangle 46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53" name="Rectangle 46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54" name="Rectangle 46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55" name="Rectangle 46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56" name="Rectangle 46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57" name="Rectangle 46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58" name="Rectangle 46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59" name="Rectangle 47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60" name="Rectangle 47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61" name="Rectangle 47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62" name="Rectangle 47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63" name="Rectangle 47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64" name="Rectangle 47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65" name="Rectangle 47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66" name="Rectangle 47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67" name="Rectangle 47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68" name="Rectangle 47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69" name="Rectangle 48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70" name="Rectangle 48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71" name="Rectangle 48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72" name="Rectangle 48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73" name="Rectangle 48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74" name="Rectangle 48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75" name="Rectangle 48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76" name="Rectangle 48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77" name="Rectangle 48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78" name="Rectangle 48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79" name="Rectangle 49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80" name="Rectangle 49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81" name="Rectangle 49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82" name="Rectangle 49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83" name="Rectangle 49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84" name="Rectangle 49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85" name="Rectangle 49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86" name="Rectangle 49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87" name="Rectangle 49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88" name="Rectangle 49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89" name="Rectangle 50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90" name="Rectangle 50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91" name="Rectangle 50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92" name="Rectangle 50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93" name="Rectangle 50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94" name="Rectangle 50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95" name="Rectangle 50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96" name="Rectangle 50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97" name="Rectangle 50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98" name="Rectangle 50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599" name="Rectangle 51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00" name="Rectangle 51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01" name="Rectangle 51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02" name="Rectangle 51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03" name="Rectangle 51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04" name="Rectangle 51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05" name="Rectangle 51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06" name="Rectangle 51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07" name="Rectangle 51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08" name="Rectangle 51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09" name="Rectangle 52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10" name="Rectangle 52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11" name="Rectangle 52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12" name="Rectangle 52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13" name="Rectangle 52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14" name="Rectangle 52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15" name="Rectangle 52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16" name="Rectangle 52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17" name="Rectangle 52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18" name="Rectangle 52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19" name="Rectangle 53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20" name="Rectangle 53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21" name="Rectangle 53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22" name="Rectangle 53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23" name="Rectangle 53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24" name="Rectangle 53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25" name="Rectangle 53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26" name="Rectangle 53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27" name="Rectangle 53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28" name="Rectangle 53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29" name="Rectangle 54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30" name="Rectangle 54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31" name="Rectangle 54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32" name="Rectangle 54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33" name="Rectangle 54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34" name="Rectangle 54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35" name="Rectangle 54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36" name="Rectangle 54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37" name="Rectangle 54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38" name="Rectangle 54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39" name="Rectangle 55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40" name="Rectangle 55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41" name="Rectangle 55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42" name="Rectangle 55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43" name="Rectangle 55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44" name="Rectangle 55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45" name="Rectangle 55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46" name="Rectangle 55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47" name="Rectangle 55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48" name="Rectangle 55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49" name="Rectangle 56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50" name="Rectangle 56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51" name="Rectangle 56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52" name="Rectangle 56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53" name="Rectangle 56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54" name="Rectangle 56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55" name="Rectangle 56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656" name="Rectangle 56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" textlink="">
      <xdr:nvSpPr>
        <xdr:cNvPr id="50657" name="Line 568"/>
        <xdr:cNvSpPr>
          <a:spLocks noChangeShapeType="1"/>
        </xdr:cNvSpPr>
      </xdr:nvSpPr>
      <xdr:spPr bwMode="auto">
        <a:xfrm>
          <a:off x="16716375" y="1476375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" textlink="">
      <xdr:nvSpPr>
        <xdr:cNvPr id="50658" name="Line 569"/>
        <xdr:cNvSpPr>
          <a:spLocks noChangeShapeType="1"/>
        </xdr:cNvSpPr>
      </xdr:nvSpPr>
      <xdr:spPr bwMode="auto">
        <a:xfrm>
          <a:off x="16716375" y="1476375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59" name="Rectangle 57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60" name="Rectangle 57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61" name="Rectangle 57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62" name="Rectangle 57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663" name="Rectangle 57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664" name="Rectangle 57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665" name="Rectangle 57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666" name="Rectangle 57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667" name="Rectangle 57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668" name="Rectangle 57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669" name="Rectangle 58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670" name="Rectangle 58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71" name="Rectangle 58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72" name="Rectangle 58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73" name="Rectangle 58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74" name="Rectangle 58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75" name="Rectangle 58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76" name="Rectangle 58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77" name="Rectangle 58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78" name="Rectangle 58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79" name="Rectangle 59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80" name="Rectangle 59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81" name="Rectangle 59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82" name="Rectangle 59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83" name="Rectangle 59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84" name="Rectangle 59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85" name="Rectangle 59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86" name="Rectangle 59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87" name="Rectangle 59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88" name="Rectangle 59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89" name="Rectangle 60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90" name="Rectangle 60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91" name="Rectangle 60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92" name="Rectangle 60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93" name="Rectangle 60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94" name="Rectangle 60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95" name="Rectangle 60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96" name="Rectangle 60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97" name="Rectangle 60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98" name="Rectangle 60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699" name="Rectangle 61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00" name="Rectangle 61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01" name="Rectangle 61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02" name="Rectangle 61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03" name="Rectangle 61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04" name="Rectangle 61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05" name="Rectangle 61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06" name="Rectangle 61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07" name="Rectangle 61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08" name="Rectangle 61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09" name="Rectangle 62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10" name="Rectangle 62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11" name="Rectangle 62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12" name="Rectangle 62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13" name="Rectangle 62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14" name="Rectangle 62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15" name="Rectangle 62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16" name="Rectangle 62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17" name="Rectangle 62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18" name="Rectangle 62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19" name="Rectangle 63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20" name="Rectangle 63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21" name="Rectangle 63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22" name="Rectangle 63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23" name="Rectangle 63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24" name="Rectangle 63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25" name="Rectangle 63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26" name="Rectangle 63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27" name="Rectangle 63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28" name="Rectangle 63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29" name="Rectangle 64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30" name="Rectangle 64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31" name="Rectangle 64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32" name="Rectangle 64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33" name="Rectangle 64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34" name="Rectangle 64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35" name="Rectangle 64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36" name="Rectangle 64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37" name="Rectangle 64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38" name="Rectangle 64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39" name="Rectangle 65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40" name="Rectangle 65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41" name="Rectangle 65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42" name="Rectangle 65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43" name="Rectangle 65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44" name="Rectangle 65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45" name="Rectangle 65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46" name="Rectangle 65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47" name="Rectangle 65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48" name="Rectangle 65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49" name="Rectangle 66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750" name="Rectangle 66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51" name="Rectangle 66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52" name="Rectangle 66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53" name="Rectangle 66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54" name="Rectangle 66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55" name="Rectangle 66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56" name="Rectangle 66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57" name="Rectangle 66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58" name="Rectangle 66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59" name="Rectangle 67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60" name="Rectangle 67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61" name="Rectangle 67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62" name="Rectangle 67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63" name="Rectangle 67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64" name="Rectangle 67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65" name="Rectangle 67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66" name="Rectangle 67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67" name="Rectangle 67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68" name="Rectangle 67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69" name="Rectangle 68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70" name="Rectangle 68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71" name="Rectangle 68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72" name="Rectangle 68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73" name="Rectangle 68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74" name="Rectangle 68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75" name="Rectangle 68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76" name="Rectangle 68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77" name="Rectangle 68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78" name="Rectangle 68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79" name="Rectangle 69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80" name="Rectangle 69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81" name="Rectangle 69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82" name="Rectangle 69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83" name="Rectangle 69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84" name="Rectangle 69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85" name="Rectangle 69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86" name="Rectangle 69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87" name="Rectangle 69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88" name="Rectangle 69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89" name="Rectangle 70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90" name="Rectangle 70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91" name="Rectangle 70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92" name="Rectangle 70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93" name="Rectangle 70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94" name="Rectangle 70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95" name="Rectangle 70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96" name="Rectangle 70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97" name="Rectangle 70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98" name="Rectangle 70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799" name="Rectangle 71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00" name="Rectangle 71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01" name="Rectangle 71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02" name="Rectangle 71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03" name="Rectangle 71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04" name="Rectangle 71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05" name="Rectangle 71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06" name="Rectangle 71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07" name="Rectangle 71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08" name="Rectangle 71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09" name="Rectangle 72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10" name="Rectangle 72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11" name="Rectangle 72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12" name="Rectangle 72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13" name="Rectangle 72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14" name="Rectangle 72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15" name="Rectangle 72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16" name="Rectangle 72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17" name="Rectangle 72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18" name="Rectangle 72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19" name="Rectangle 73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20" name="Rectangle 73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21" name="Rectangle 73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22" name="Rectangle 73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23" name="Rectangle 73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24" name="Rectangle 73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25" name="Rectangle 73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26" name="Rectangle 73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27" name="Rectangle 73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28" name="Rectangle 73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29" name="Rectangle 74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30" name="Rectangle 74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31" name="Rectangle 74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32" name="Rectangle 74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33" name="Rectangle 74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34" name="Rectangle 74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35" name="Rectangle 74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36" name="Rectangle 74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37" name="Rectangle 74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38" name="Rectangle 74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39" name="Rectangle 75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40" name="Rectangle 75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41" name="Rectangle 75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42" name="Rectangle 75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43" name="Rectangle 75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44" name="Rectangle 75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45" name="Rectangle 75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46" name="Rectangle 75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47" name="Rectangle 75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48" name="Rectangle 75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49" name="Rectangle 76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50" name="Rectangle 76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51" name="Rectangle 76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52" name="Rectangle 76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53" name="Rectangle 76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54" name="Rectangle 76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55" name="Rectangle 76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56" name="Rectangle 76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57" name="Rectangle 76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58" name="Rectangle 76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59" name="Rectangle 77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60" name="Rectangle 77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61" name="Rectangle 77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62" name="Rectangle 77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63" name="Rectangle 77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64" name="Rectangle 77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65" name="Rectangle 77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66" name="Rectangle 77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67" name="Rectangle 77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68" name="Rectangle 77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69" name="Rectangle 78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70" name="Rectangle 78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71" name="Rectangle 78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72" name="Rectangle 78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73" name="Rectangle 78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74" name="Rectangle 78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75" name="Rectangle 78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76" name="Rectangle 78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77" name="Rectangle 78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78" name="Rectangle 78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79" name="Rectangle 79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80" name="Rectangle 79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81" name="Rectangle 79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82" name="Rectangle 79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83" name="Rectangle 79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84" name="Rectangle 79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85" name="Rectangle 79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86" name="Rectangle 79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87" name="Rectangle 79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88" name="Rectangle 79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89" name="Rectangle 80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90" name="Rectangle 80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91" name="Rectangle 80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92" name="Rectangle 80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93" name="Rectangle 80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94" name="Rectangle 80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95" name="Rectangle 80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96" name="Rectangle 80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97" name="Rectangle 80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98" name="Rectangle 80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899" name="Rectangle 81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00" name="Rectangle 81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01" name="Rectangle 81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02" name="Rectangle 81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03" name="Rectangle 81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04" name="Rectangle 81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05" name="Rectangle 81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06" name="Rectangle 81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07" name="Rectangle 81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08" name="Rectangle 81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09" name="Rectangle 82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10" name="Rectangle 82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11" name="Rectangle 82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12" name="Rectangle 82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13" name="Rectangle 82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14" name="Rectangle 82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15" name="Rectangle 82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16" name="Rectangle 82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17" name="Rectangle 82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18" name="Rectangle 82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19" name="Rectangle 83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20" name="Rectangle 83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21" name="Rectangle 83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22" name="Rectangle 83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23" name="Rectangle 83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24" name="Rectangle 83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25" name="Rectangle 83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26" name="Rectangle 83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27" name="Rectangle 83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28" name="Rectangle 83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29" name="Rectangle 84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30" name="Rectangle 84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31" name="Rectangle 84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32" name="Rectangle 84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33" name="Rectangle 84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34" name="Rectangle 84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35" name="Rectangle 84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36" name="Rectangle 84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37" name="Rectangle 84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38" name="Rectangle 84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39" name="Rectangle 85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40" name="Rectangle 85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41" name="Rectangle 85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42" name="Rectangle 85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43" name="Rectangle 85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44" name="Rectangle 85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45" name="Rectangle 85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46" name="Rectangle 85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47" name="Rectangle 85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48" name="Rectangle 85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49" name="Rectangle 86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50" name="Rectangle 86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51" name="Rectangle 86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52" name="Rectangle 86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53" name="Rectangle 86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54" name="Rectangle 86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55" name="Rectangle 86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56" name="Rectangle 86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57" name="Rectangle 86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0958" name="Rectangle 86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59" name="Rectangle 87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60" name="Rectangle 87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61" name="Rectangle 87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62" name="Rectangle 87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63" name="Rectangle 87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64" name="Rectangle 87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65" name="Rectangle 87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66" name="Rectangle 87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67" name="Rectangle 87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68" name="Rectangle 87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69" name="Rectangle 88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70" name="Rectangle 88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71" name="Rectangle 88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72" name="Rectangle 88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73" name="Rectangle 88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74" name="Rectangle 88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75" name="Rectangle 88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76" name="Rectangle 88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77" name="Rectangle 88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78" name="Rectangle 88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79" name="Rectangle 89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80" name="Rectangle 89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81" name="Rectangle 89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82" name="Rectangle 89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83" name="Rectangle 89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84" name="Rectangle 89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85" name="Rectangle 89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0986" name="Rectangle 89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0</xdr:rowOff>
    </xdr:from>
    <xdr:to>
      <xdr:col>17</xdr:col>
      <xdr:colOff>0</xdr:colOff>
      <xdr:row>5</xdr:row>
      <xdr:rowOff>0</xdr:rowOff>
    </xdr:to>
    <xdr:sp macro="" textlink="">
      <xdr:nvSpPr>
        <xdr:cNvPr id="50987" name="Line 898"/>
        <xdr:cNvSpPr>
          <a:spLocks noChangeShapeType="1"/>
        </xdr:cNvSpPr>
      </xdr:nvSpPr>
      <xdr:spPr bwMode="auto">
        <a:xfrm>
          <a:off x="17564100" y="1476375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0</xdr:rowOff>
    </xdr:from>
    <xdr:to>
      <xdr:col>17</xdr:col>
      <xdr:colOff>0</xdr:colOff>
      <xdr:row>5</xdr:row>
      <xdr:rowOff>0</xdr:rowOff>
    </xdr:to>
    <xdr:sp macro="" textlink="">
      <xdr:nvSpPr>
        <xdr:cNvPr id="50988" name="Line 899"/>
        <xdr:cNvSpPr>
          <a:spLocks noChangeShapeType="1"/>
        </xdr:cNvSpPr>
      </xdr:nvSpPr>
      <xdr:spPr bwMode="auto">
        <a:xfrm>
          <a:off x="17564100" y="1476375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989" name="Rectangle 90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990" name="Rectangle 90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991" name="Rectangle 90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992" name="Rectangle 90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993" name="Rectangle 90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994" name="Rectangle 90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995" name="Rectangle 90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996" name="Rectangle 90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997" name="Rectangle 90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998" name="Rectangle 90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0999" name="Rectangle 91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00" name="Rectangle 91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01" name="Rectangle 91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02" name="Rectangle 91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03" name="Rectangle 91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04" name="Rectangle 91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05" name="Rectangle 91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06" name="Rectangle 91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07" name="Rectangle 91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08" name="Rectangle 91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09" name="Rectangle 92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10" name="Rectangle 92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11" name="Rectangle 92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12" name="Rectangle 92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13" name="Rectangle 92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14" name="Rectangle 92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15" name="Rectangle 92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16" name="Rectangle 92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17" name="Rectangle 92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18" name="Rectangle 92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19" name="Rectangle 93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20" name="Rectangle 93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21" name="Rectangle 93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22" name="Rectangle 93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23" name="Rectangle 93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24" name="Rectangle 93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25" name="Rectangle 93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26" name="Rectangle 93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27" name="Rectangle 93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28" name="Rectangle 93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29" name="Rectangle 94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30" name="Rectangle 94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31" name="Rectangle 94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32" name="Rectangle 94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33" name="Rectangle 94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34" name="Rectangle 94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35" name="Rectangle 94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36" name="Rectangle 94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37" name="Rectangle 94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38" name="Rectangle 94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39" name="Rectangle 95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40" name="Rectangle 95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41" name="Rectangle 95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42" name="Rectangle 95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43" name="Rectangle 95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44" name="Rectangle 95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45" name="Rectangle 95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46" name="Rectangle 95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47" name="Rectangle 95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48" name="Rectangle 95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49" name="Rectangle 96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50" name="Rectangle 96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51" name="Rectangle 96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52" name="Rectangle 96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53" name="Rectangle 96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54" name="Rectangle 96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55" name="Rectangle 96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56" name="Rectangle 96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57" name="Rectangle 96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58" name="Rectangle 96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59" name="Rectangle 97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60" name="Rectangle 97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61" name="Rectangle 97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62" name="Rectangle 97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63" name="Rectangle 97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64" name="Rectangle 97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65" name="Rectangle 97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66" name="Rectangle 97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67" name="Rectangle 97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68" name="Rectangle 97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69" name="Rectangle 98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70" name="Rectangle 98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71" name="Rectangle 98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72" name="Rectangle 98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73" name="Rectangle 98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74" name="Rectangle 98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75" name="Rectangle 98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76" name="Rectangle 98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77" name="Rectangle 98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78" name="Rectangle 98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79" name="Rectangle 99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80" name="Rectangle 99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81" name="Rectangle 99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82" name="Rectangle 99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83" name="Rectangle 99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84" name="Rectangle 99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85" name="Rectangle 99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86" name="Rectangle 99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87" name="Rectangle 99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88" name="Rectangle 99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89" name="Rectangle 100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90" name="Rectangle 100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91" name="Rectangle 100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92" name="Rectangle 100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93" name="Rectangle 100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94" name="Rectangle 100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95" name="Rectangle 100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1096" name="Rectangle 100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" textlink="">
      <xdr:nvSpPr>
        <xdr:cNvPr id="51097" name="Line 1008"/>
        <xdr:cNvSpPr>
          <a:spLocks noChangeShapeType="1"/>
        </xdr:cNvSpPr>
      </xdr:nvSpPr>
      <xdr:spPr bwMode="auto">
        <a:xfrm>
          <a:off x="16716375" y="1476375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" textlink="">
      <xdr:nvSpPr>
        <xdr:cNvPr id="51098" name="Line 1009"/>
        <xdr:cNvSpPr>
          <a:spLocks noChangeShapeType="1"/>
        </xdr:cNvSpPr>
      </xdr:nvSpPr>
      <xdr:spPr bwMode="auto">
        <a:xfrm>
          <a:off x="16716375" y="1476375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099" name="Rectangle 101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00" name="Rectangle 101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01" name="Rectangle 101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02" name="Rectangle 101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03" name="Rectangle 101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04" name="Rectangle 101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05" name="Rectangle 101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06" name="Rectangle 101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07" name="Rectangle 101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08" name="Rectangle 101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09" name="Rectangle 102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10" name="Rectangle 102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11" name="Rectangle 102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12" name="Rectangle 102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13" name="Rectangle 102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14" name="Rectangle 102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15" name="Rectangle 102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16" name="Rectangle 102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17" name="Rectangle 102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18" name="Rectangle 102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19" name="Rectangle 103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20" name="Rectangle 103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21" name="Rectangle 103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22" name="Rectangle 103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23" name="Rectangle 103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24" name="Rectangle 103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25" name="Rectangle 103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26" name="Rectangle 103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27" name="Rectangle 103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28" name="Rectangle 103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29" name="Rectangle 104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30" name="Rectangle 104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31" name="Rectangle 104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32" name="Rectangle 104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33" name="Rectangle 104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34" name="Rectangle 104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35" name="Rectangle 104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36" name="Rectangle 104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37" name="Rectangle 104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38" name="Rectangle 104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39" name="Rectangle 105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40" name="Rectangle 105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41" name="Rectangle 105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42" name="Rectangle 105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43" name="Rectangle 105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44" name="Rectangle 105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45" name="Rectangle 105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46" name="Rectangle 105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47" name="Rectangle 105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48" name="Rectangle 105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49" name="Rectangle 106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50" name="Rectangle 106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51" name="Rectangle 106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52" name="Rectangle 106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53" name="Rectangle 106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54" name="Rectangle 106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55" name="Rectangle 106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56" name="Rectangle 106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57" name="Rectangle 106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58" name="Rectangle 106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59" name="Rectangle 107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60" name="Rectangle 107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61" name="Rectangle 107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62" name="Rectangle 107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63" name="Rectangle 107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64" name="Rectangle 107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65" name="Rectangle 107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66" name="Rectangle 107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67" name="Rectangle 107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68" name="Rectangle 107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69" name="Rectangle 108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70" name="Rectangle 108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71" name="Rectangle 108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72" name="Rectangle 108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73" name="Rectangle 108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74" name="Rectangle 108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75" name="Rectangle 108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76" name="Rectangle 108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77" name="Rectangle 108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78" name="Rectangle 108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79" name="Rectangle 109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80" name="Rectangle 109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81" name="Rectangle 109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82" name="Rectangle 109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83" name="Rectangle 109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84" name="Rectangle 109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85" name="Rectangle 109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86" name="Rectangle 109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87" name="Rectangle 109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88" name="Rectangle 109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89" name="Rectangle 110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1190" name="Rectangle 110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91" name="Rectangle 110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92" name="Rectangle 110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93" name="Rectangle 110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94" name="Rectangle 110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95" name="Rectangle 110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96" name="Rectangle 110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97" name="Rectangle 110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98" name="Rectangle 110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1199" name="Rectangle 111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48" name="Rectangle 111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49" name="Rectangle 111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50" name="Rectangle 111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51" name="Rectangle 111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52" name="Rectangle 111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53" name="Rectangle 111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54" name="Rectangle 111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55" name="Rectangle 111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56" name="Rectangle 111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57" name="Rectangle 112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58" name="Rectangle 112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59" name="Rectangle 112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60" name="Rectangle 112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61" name="Rectangle 112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62" name="Rectangle 112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63" name="Rectangle 112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64" name="Rectangle 112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65" name="Rectangle 112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66" name="Rectangle 112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67" name="Rectangle 113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68" name="Rectangle 113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69" name="Rectangle 113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70" name="Rectangle 113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71" name="Rectangle 113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72" name="Rectangle 113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73" name="Rectangle 113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74" name="Rectangle 113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75" name="Rectangle 113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76" name="Rectangle 113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77" name="Rectangle 114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78" name="Rectangle 114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79" name="Rectangle 114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80" name="Rectangle 114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81" name="Rectangle 114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82" name="Rectangle 114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83" name="Rectangle 114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84" name="Rectangle 114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85" name="Rectangle 114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86" name="Rectangle 114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87" name="Rectangle 115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88" name="Rectangle 115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89" name="Rectangle 115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90" name="Rectangle 115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91" name="Rectangle 115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92" name="Rectangle 115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93" name="Rectangle 115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94" name="Rectangle 115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95" name="Rectangle 115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96" name="Rectangle 115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97" name="Rectangle 116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98" name="Rectangle 116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299" name="Rectangle 116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00" name="Rectangle 116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01" name="Rectangle 116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02" name="Rectangle 116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03" name="Rectangle 116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04" name="Rectangle 116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05" name="Rectangle 116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06" name="Rectangle 116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07" name="Rectangle 117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08" name="Rectangle 117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09" name="Rectangle 117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10" name="Rectangle 117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11" name="Rectangle 117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12" name="Rectangle 117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13" name="Rectangle 117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14" name="Rectangle 117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15" name="Rectangle 117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16" name="Rectangle 117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17" name="Rectangle 118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18" name="Rectangle 118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19" name="Rectangle 118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20" name="Rectangle 118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21" name="Rectangle 118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22" name="Rectangle 118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23" name="Rectangle 118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24" name="Rectangle 118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25" name="Rectangle 118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26" name="Rectangle 118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27" name="Rectangle 119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28" name="Rectangle 119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29" name="Rectangle 119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30" name="Rectangle 119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31" name="Rectangle 119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32" name="Rectangle 119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33" name="Rectangle 119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34" name="Rectangle 119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35" name="Rectangle 119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36" name="Rectangle 119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37" name="Rectangle 120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38" name="Rectangle 120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39" name="Rectangle 120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40" name="Rectangle 120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41" name="Rectangle 120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42" name="Rectangle 120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43" name="Rectangle 120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44" name="Rectangle 120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45" name="Rectangle 120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46" name="Rectangle 120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47" name="Rectangle 121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48" name="Rectangle 121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49" name="Rectangle 121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50" name="Rectangle 121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51" name="Rectangle 121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52" name="Rectangle 121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53" name="Rectangle 121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54" name="Rectangle 121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55" name="Rectangle 121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56" name="Rectangle 121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57" name="Rectangle 122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58" name="Rectangle 122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59" name="Rectangle 122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60" name="Rectangle 122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61" name="Rectangle 122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62" name="Rectangle 122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63" name="Rectangle 122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64" name="Rectangle 122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65" name="Rectangle 122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66" name="Rectangle 122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67" name="Rectangle 123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68" name="Rectangle 123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69" name="Rectangle 123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70" name="Rectangle 123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71" name="Rectangle 123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72" name="Rectangle 123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73" name="Rectangle 123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74" name="Rectangle 123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75" name="Rectangle 123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76" name="Rectangle 123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77" name="Rectangle 124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78" name="Rectangle 124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79" name="Rectangle 124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80" name="Rectangle 124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81" name="Rectangle 124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82" name="Rectangle 124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83" name="Rectangle 124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84" name="Rectangle 124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85" name="Rectangle 124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86" name="Rectangle 124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87" name="Rectangle 125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88" name="Rectangle 125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89" name="Rectangle 125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90" name="Rectangle 125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91" name="Rectangle 125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92" name="Rectangle 125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93" name="Rectangle 125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94" name="Rectangle 125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95" name="Rectangle 125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96" name="Rectangle 125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97" name="Rectangle 126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98" name="Rectangle 126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399" name="Rectangle 126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00" name="Rectangle 126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01" name="Rectangle 126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02" name="Rectangle 126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03" name="Rectangle 126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04" name="Rectangle 126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05" name="Rectangle 126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06" name="Rectangle 126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07" name="Rectangle 127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08" name="Rectangle 127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09" name="Rectangle 127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10" name="Rectangle 127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11" name="Rectangle 127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12" name="Rectangle 127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13" name="Rectangle 127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14" name="Rectangle 127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15" name="Rectangle 127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16" name="Rectangle 127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17" name="Rectangle 128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18" name="Rectangle 128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19" name="Rectangle 128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20" name="Rectangle 128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21" name="Rectangle 128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22" name="Rectangle 128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23" name="Rectangle 128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24" name="Rectangle 128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25" name="Rectangle 128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26" name="Rectangle 128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27" name="Rectangle 129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28" name="Rectangle 129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29" name="Rectangle 129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30" name="Rectangle 129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31" name="Rectangle 129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32" name="Rectangle 129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33" name="Rectangle 129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34" name="Rectangle 129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35" name="Rectangle 129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36" name="Rectangle 129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37" name="Rectangle 130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38" name="Rectangle 130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39" name="Rectangle 130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40" name="Rectangle 130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41" name="Rectangle 130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42" name="Rectangle 130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43" name="Rectangle 130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44" name="Rectangle 130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45" name="Rectangle 130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446" name="Rectangle 130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47" name="Rectangle 131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48" name="Rectangle 131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49" name="Rectangle 131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50" name="Rectangle 131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51" name="Rectangle 131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52" name="Rectangle 131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53" name="Rectangle 131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54" name="Rectangle 131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55" name="Rectangle 131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56" name="Rectangle 131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57" name="Rectangle 132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58" name="Rectangle 132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59" name="Rectangle 132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60" name="Rectangle 132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61" name="Rectangle 132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62" name="Rectangle 132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63" name="Rectangle 132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64" name="Rectangle 132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65" name="Rectangle 132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66" name="Rectangle 132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67" name="Rectangle 133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68" name="Rectangle 133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69" name="Rectangle 133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70" name="Rectangle 133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71" name="Rectangle 133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72" name="Rectangle 133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73" name="Rectangle 133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474" name="Rectangle 133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0</xdr:rowOff>
    </xdr:from>
    <xdr:to>
      <xdr:col>17</xdr:col>
      <xdr:colOff>0</xdr:colOff>
      <xdr:row>5</xdr:row>
      <xdr:rowOff>0</xdr:rowOff>
    </xdr:to>
    <xdr:sp macro="" textlink="">
      <xdr:nvSpPr>
        <xdr:cNvPr id="53475" name="Line 1338"/>
        <xdr:cNvSpPr>
          <a:spLocks noChangeShapeType="1"/>
        </xdr:cNvSpPr>
      </xdr:nvSpPr>
      <xdr:spPr bwMode="auto">
        <a:xfrm>
          <a:off x="17564100" y="1476375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0</xdr:rowOff>
    </xdr:from>
    <xdr:to>
      <xdr:col>17</xdr:col>
      <xdr:colOff>0</xdr:colOff>
      <xdr:row>5</xdr:row>
      <xdr:rowOff>0</xdr:rowOff>
    </xdr:to>
    <xdr:sp macro="" textlink="">
      <xdr:nvSpPr>
        <xdr:cNvPr id="53476" name="Line 1339"/>
        <xdr:cNvSpPr>
          <a:spLocks noChangeShapeType="1"/>
        </xdr:cNvSpPr>
      </xdr:nvSpPr>
      <xdr:spPr bwMode="auto">
        <a:xfrm>
          <a:off x="17564100" y="1476375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477" name="Rectangle 134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478" name="Rectangle 134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479" name="Rectangle 134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480" name="Rectangle 134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481" name="Rectangle 134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482" name="Rectangle 134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483" name="Rectangle 134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484" name="Rectangle 134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485" name="Rectangle 134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486" name="Rectangle 134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487" name="Rectangle 135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488" name="Rectangle 135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489" name="Rectangle 135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490" name="Rectangle 135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491" name="Rectangle 135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492" name="Rectangle 135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493" name="Rectangle 135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494" name="Rectangle 135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495" name="Rectangle 135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496" name="Rectangle 135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497" name="Rectangle 136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498" name="Rectangle 136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499" name="Rectangle 136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00" name="Rectangle 136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01" name="Rectangle 136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02" name="Rectangle 136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03" name="Rectangle 136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04" name="Rectangle 136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05" name="Rectangle 136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06" name="Rectangle 136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07" name="Rectangle 137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08" name="Rectangle 137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09" name="Rectangle 137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10" name="Rectangle 137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11" name="Rectangle 137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12" name="Rectangle 137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13" name="Rectangle 137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14" name="Rectangle 137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15" name="Rectangle 137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16" name="Rectangle 137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17" name="Rectangle 138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18" name="Rectangle 138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19" name="Rectangle 138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20" name="Rectangle 138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21" name="Rectangle 138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22" name="Rectangle 138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23" name="Rectangle 138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24" name="Rectangle 138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25" name="Rectangle 138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26" name="Rectangle 138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27" name="Rectangle 139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28" name="Rectangle 139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29" name="Rectangle 139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30" name="Rectangle 139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31" name="Rectangle 139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32" name="Rectangle 139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33" name="Rectangle 139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34" name="Rectangle 139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35" name="Rectangle 139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36" name="Rectangle 139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37" name="Rectangle 140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38" name="Rectangle 140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39" name="Rectangle 140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40" name="Rectangle 140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41" name="Rectangle 140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42" name="Rectangle 140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43" name="Rectangle 140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44" name="Rectangle 140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45" name="Rectangle 140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46" name="Rectangle 140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47" name="Rectangle 141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48" name="Rectangle 141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49" name="Rectangle 141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50" name="Rectangle 141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51" name="Rectangle 141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52" name="Rectangle 141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53" name="Rectangle 141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54" name="Rectangle 141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55" name="Rectangle 141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56" name="Rectangle 141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57" name="Rectangle 142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58" name="Rectangle 142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59" name="Rectangle 142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60" name="Rectangle 142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61" name="Rectangle 142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62" name="Rectangle 142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63" name="Rectangle 142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64" name="Rectangle 142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65" name="Rectangle 142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66" name="Rectangle 142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67" name="Rectangle 143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68" name="Rectangle 143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69" name="Rectangle 143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70" name="Rectangle 143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71" name="Rectangle 143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72" name="Rectangle 143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73" name="Rectangle 143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74" name="Rectangle 143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75" name="Rectangle 143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76" name="Rectangle 143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77" name="Rectangle 144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78" name="Rectangle 144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79" name="Rectangle 144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80" name="Rectangle 144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81" name="Rectangle 144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82" name="Rectangle 144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83" name="Rectangle 144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584" name="Rectangle 144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" textlink="">
      <xdr:nvSpPr>
        <xdr:cNvPr id="53585" name="Line 1448"/>
        <xdr:cNvSpPr>
          <a:spLocks noChangeShapeType="1"/>
        </xdr:cNvSpPr>
      </xdr:nvSpPr>
      <xdr:spPr bwMode="auto">
        <a:xfrm>
          <a:off x="16716375" y="1476375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" textlink="">
      <xdr:nvSpPr>
        <xdr:cNvPr id="53586" name="Line 1449"/>
        <xdr:cNvSpPr>
          <a:spLocks noChangeShapeType="1"/>
        </xdr:cNvSpPr>
      </xdr:nvSpPr>
      <xdr:spPr bwMode="auto">
        <a:xfrm>
          <a:off x="16716375" y="1476375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587" name="Rectangle 145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588" name="Rectangle 145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589" name="Rectangle 145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590" name="Rectangle 145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591" name="Rectangle 145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592" name="Rectangle 145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593" name="Rectangle 145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594" name="Rectangle 145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595" name="Rectangle 145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596" name="Rectangle 145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597" name="Rectangle 146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598" name="Rectangle 146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599" name="Rectangle 146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00" name="Rectangle 146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01" name="Rectangle 146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02" name="Rectangle 146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03" name="Rectangle 146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04" name="Rectangle 146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05" name="Rectangle 146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06" name="Rectangle 146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07" name="Rectangle 147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08" name="Rectangle 147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09" name="Rectangle 147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10" name="Rectangle 147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11" name="Rectangle 147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12" name="Rectangle 147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13" name="Rectangle 147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14" name="Rectangle 147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15" name="Rectangle 147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16" name="Rectangle 147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17" name="Rectangle 148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18" name="Rectangle 148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19" name="Rectangle 148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20" name="Rectangle 148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21" name="Rectangle 148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22" name="Rectangle 148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23" name="Rectangle 148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24" name="Rectangle 148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25" name="Rectangle 148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26" name="Rectangle 148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27" name="Rectangle 149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28" name="Rectangle 149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29" name="Rectangle 149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30" name="Rectangle 149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31" name="Rectangle 149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32" name="Rectangle 149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33" name="Rectangle 149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34" name="Rectangle 149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35" name="Rectangle 149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36" name="Rectangle 149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37" name="Rectangle 150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38" name="Rectangle 150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39" name="Rectangle 150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40" name="Rectangle 150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41" name="Rectangle 150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42" name="Rectangle 150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43" name="Rectangle 150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44" name="Rectangle 150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45" name="Rectangle 150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46" name="Rectangle 150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47" name="Rectangle 151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48" name="Rectangle 151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49" name="Rectangle 151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50" name="Rectangle 151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51" name="Rectangle 151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52" name="Rectangle 151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53" name="Rectangle 151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54" name="Rectangle 151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55" name="Rectangle 151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56" name="Rectangle 151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57" name="Rectangle 152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58" name="Rectangle 152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59" name="Rectangle 152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60" name="Rectangle 152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61" name="Rectangle 152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62" name="Rectangle 152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63" name="Rectangle 152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64" name="Rectangle 152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65" name="Rectangle 152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66" name="Rectangle 152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67" name="Rectangle 153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68" name="Rectangle 153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69" name="Rectangle 153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70" name="Rectangle 153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71" name="Rectangle 153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72" name="Rectangle 153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73" name="Rectangle 153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74" name="Rectangle 153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75" name="Rectangle 153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76" name="Rectangle 153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77" name="Rectangle 154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678" name="Rectangle 154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79" name="Rectangle 154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80" name="Rectangle 154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81" name="Rectangle 154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82" name="Rectangle 154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83" name="Rectangle 154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84" name="Rectangle 154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85" name="Rectangle 154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86" name="Rectangle 154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87" name="Rectangle 155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88" name="Rectangle 155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89" name="Rectangle 155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90" name="Rectangle 155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91" name="Rectangle 155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92" name="Rectangle 155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93" name="Rectangle 155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94" name="Rectangle 155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95" name="Rectangle 155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96" name="Rectangle 155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97" name="Rectangle 156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98" name="Rectangle 156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699" name="Rectangle 156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00" name="Rectangle 156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01" name="Rectangle 156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02" name="Rectangle 156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03" name="Rectangle 156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04" name="Rectangle 156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05" name="Rectangle 156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06" name="Rectangle 156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07" name="Rectangle 157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08" name="Rectangle 157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09" name="Rectangle 157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10" name="Rectangle 157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11" name="Rectangle 157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12" name="Rectangle 157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13" name="Rectangle 157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14" name="Rectangle 157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15" name="Rectangle 157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16" name="Rectangle 157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17" name="Rectangle 158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18" name="Rectangle 158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19" name="Rectangle 158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20" name="Rectangle 158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21" name="Rectangle 158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22" name="Rectangle 158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23" name="Rectangle 158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24" name="Rectangle 158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25" name="Rectangle 158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26" name="Rectangle 158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27" name="Rectangle 159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28" name="Rectangle 159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29" name="Rectangle 159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30" name="Rectangle 159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31" name="Rectangle 159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32" name="Rectangle 159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33" name="Rectangle 159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34" name="Rectangle 159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35" name="Rectangle 159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36" name="Rectangle 159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37" name="Rectangle 160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38" name="Rectangle 160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39" name="Rectangle 160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40" name="Rectangle 160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41" name="Rectangle 160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42" name="Rectangle 160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43" name="Rectangle 160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44" name="Rectangle 160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45" name="Rectangle 160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46" name="Rectangle 160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47" name="Rectangle 161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48" name="Rectangle 161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49" name="Rectangle 161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50" name="Rectangle 161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51" name="Rectangle 161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52" name="Rectangle 161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53" name="Rectangle 161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54" name="Rectangle 161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55" name="Rectangle 161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56" name="Rectangle 161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57" name="Rectangle 162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58" name="Rectangle 162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59" name="Rectangle 162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60" name="Rectangle 162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61" name="Rectangle 162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62" name="Rectangle 162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63" name="Rectangle 162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64" name="Rectangle 162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65" name="Rectangle 162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66" name="Rectangle 162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67" name="Rectangle 163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68" name="Rectangle 163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69" name="Rectangle 163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70" name="Rectangle 163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71" name="Rectangle 163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72" name="Rectangle 163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73" name="Rectangle 163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74" name="Rectangle 163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75" name="Rectangle 163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76" name="Rectangle 163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77" name="Rectangle 164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78" name="Rectangle 164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79" name="Rectangle 164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80" name="Rectangle 164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81" name="Rectangle 164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82" name="Rectangle 164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83" name="Rectangle 164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84" name="Rectangle 164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85" name="Rectangle 164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86" name="Rectangle 164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87" name="Rectangle 165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88" name="Rectangle 165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89" name="Rectangle 165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90" name="Rectangle 165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91" name="Rectangle 165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92" name="Rectangle 165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93" name="Rectangle 165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94" name="Rectangle 165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95" name="Rectangle 165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96" name="Rectangle 165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97" name="Rectangle 166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98" name="Rectangle 166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799" name="Rectangle 166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00" name="Rectangle 166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01" name="Rectangle 166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02" name="Rectangle 166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03" name="Rectangle 166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04" name="Rectangle 166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05" name="Rectangle 166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06" name="Rectangle 166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07" name="Rectangle 167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08" name="Rectangle 167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09" name="Rectangle 167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10" name="Rectangle 167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11" name="Rectangle 167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12" name="Rectangle 167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13" name="Rectangle 167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14" name="Rectangle 167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15" name="Rectangle 167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16" name="Rectangle 167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17" name="Rectangle 168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18" name="Rectangle 168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19" name="Rectangle 168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20" name="Rectangle 168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21" name="Rectangle 168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22" name="Rectangle 168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23" name="Rectangle 168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24" name="Rectangle 168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25" name="Rectangle 168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26" name="Rectangle 168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27" name="Rectangle 169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28" name="Rectangle 169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29" name="Rectangle 169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30" name="Rectangle 169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31" name="Rectangle 169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32" name="Rectangle 169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33" name="Rectangle 169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34" name="Rectangle 169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35" name="Rectangle 169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36" name="Rectangle 169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37" name="Rectangle 170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38" name="Rectangle 170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39" name="Rectangle 170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40" name="Rectangle 170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41" name="Rectangle 170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42" name="Rectangle 170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843" name="Rectangle 170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844" name="Rectangle 170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845" name="Rectangle 170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846" name="Rectangle 170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47" name="Rectangle 171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48" name="Rectangle 171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49" name="Rectangle 171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50" name="Rectangle 171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51" name="Rectangle 171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52" name="Rectangle 171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53" name="Rectangle 171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54" name="Rectangle 171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55" name="Rectangle 171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56" name="Rectangle 171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57" name="Rectangle 172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58" name="Rectangle 172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59" name="Rectangle 172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60" name="Rectangle 172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61" name="Rectangle 172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62" name="Rectangle 172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63" name="Rectangle 172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64" name="Rectangle 172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65" name="Rectangle 172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66" name="Rectangle 172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67" name="Rectangle 173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68" name="Rectangle 173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69" name="Rectangle 173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70" name="Rectangle 173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71" name="Rectangle 173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72" name="Rectangle 173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73" name="Rectangle 173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74" name="Rectangle 173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75" name="Rectangle 173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76" name="Rectangle 173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77" name="Rectangle 174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78" name="Rectangle 174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79" name="Rectangle 174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80" name="Rectangle 174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81" name="Rectangle 174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82" name="Rectangle 174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83" name="Rectangle 174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84" name="Rectangle 174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85" name="Rectangle 174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0</xdr:colOff>
      <xdr:row>4</xdr:row>
      <xdr:rowOff>485775</xdr:rowOff>
    </xdr:from>
    <xdr:to>
      <xdr:col>14</xdr:col>
      <xdr:colOff>0</xdr:colOff>
      <xdr:row>4</xdr:row>
      <xdr:rowOff>485775</xdr:rowOff>
    </xdr:to>
    <xdr:sp macro="" textlink="">
      <xdr:nvSpPr>
        <xdr:cNvPr id="53886" name="Rectangle 174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887" name="Rectangle 175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888" name="Rectangle 175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889" name="Rectangle 175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890" name="Rectangle 175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891" name="Rectangle 175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892" name="Rectangle 175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893" name="Rectangle 175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894" name="Rectangle 175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895" name="Rectangle 175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896" name="Rectangle 175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897" name="Rectangle 176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898" name="Rectangle 176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899" name="Rectangle 176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900" name="Rectangle 176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901" name="Rectangle 176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902" name="Rectangle 176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903" name="Rectangle 176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904" name="Rectangle 176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905" name="Rectangle 1768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906" name="Rectangle 1769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907" name="Rectangle 1770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908" name="Rectangle 1771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909" name="Rectangle 1772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910" name="Rectangle 1773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911" name="Rectangle 1774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912" name="Rectangle 1775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913" name="Rectangle 1776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485775</xdr:rowOff>
    </xdr:from>
    <xdr:to>
      <xdr:col>17</xdr:col>
      <xdr:colOff>0</xdr:colOff>
      <xdr:row>4</xdr:row>
      <xdr:rowOff>485775</xdr:rowOff>
    </xdr:to>
    <xdr:sp macro="" textlink="">
      <xdr:nvSpPr>
        <xdr:cNvPr id="53914" name="Rectangle 1777"/>
        <xdr:cNvSpPr>
          <a:spLocks noChangeArrowheads="1"/>
        </xdr:cNvSpPr>
      </xdr:nvSpPr>
      <xdr:spPr bwMode="auto">
        <a:xfrm>
          <a:off x="175641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0</xdr:rowOff>
    </xdr:from>
    <xdr:to>
      <xdr:col>17</xdr:col>
      <xdr:colOff>0</xdr:colOff>
      <xdr:row>5</xdr:row>
      <xdr:rowOff>0</xdr:rowOff>
    </xdr:to>
    <xdr:sp macro="" textlink="">
      <xdr:nvSpPr>
        <xdr:cNvPr id="53915" name="Line 1778"/>
        <xdr:cNvSpPr>
          <a:spLocks noChangeShapeType="1"/>
        </xdr:cNvSpPr>
      </xdr:nvSpPr>
      <xdr:spPr bwMode="auto">
        <a:xfrm>
          <a:off x="17564100" y="1476375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0</xdr:rowOff>
    </xdr:from>
    <xdr:to>
      <xdr:col>17</xdr:col>
      <xdr:colOff>0</xdr:colOff>
      <xdr:row>5</xdr:row>
      <xdr:rowOff>0</xdr:rowOff>
    </xdr:to>
    <xdr:sp macro="" textlink="">
      <xdr:nvSpPr>
        <xdr:cNvPr id="53916" name="Line 1779"/>
        <xdr:cNvSpPr>
          <a:spLocks noChangeShapeType="1"/>
        </xdr:cNvSpPr>
      </xdr:nvSpPr>
      <xdr:spPr bwMode="auto">
        <a:xfrm>
          <a:off x="17564100" y="1476375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17" name="Rectangle 178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18" name="Rectangle 178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19" name="Rectangle 178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20" name="Rectangle 178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21" name="Rectangle 178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22" name="Rectangle 178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23" name="Rectangle 178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24" name="Rectangle 178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25" name="Rectangle 178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26" name="Rectangle 178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27" name="Rectangle 179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28" name="Rectangle 179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29" name="Rectangle 179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30" name="Rectangle 179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31" name="Rectangle 179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32" name="Rectangle 179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33" name="Rectangle 179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34" name="Rectangle 179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35" name="Rectangle 179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36" name="Rectangle 179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37" name="Rectangle 180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38" name="Rectangle 180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39" name="Rectangle 180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40" name="Rectangle 180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41" name="Rectangle 180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42" name="Rectangle 180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43" name="Rectangle 180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44" name="Rectangle 180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45" name="Rectangle 180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46" name="Rectangle 180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47" name="Rectangle 181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48" name="Rectangle 181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49" name="Rectangle 181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50" name="Rectangle 181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51" name="Rectangle 181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52" name="Rectangle 181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53" name="Rectangle 181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54" name="Rectangle 181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55" name="Rectangle 181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56" name="Rectangle 181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57" name="Rectangle 182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58" name="Rectangle 182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59" name="Rectangle 182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60" name="Rectangle 182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61" name="Rectangle 182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62" name="Rectangle 182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63" name="Rectangle 182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64" name="Rectangle 182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65" name="Rectangle 182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66" name="Rectangle 182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67" name="Rectangle 183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68" name="Rectangle 183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69" name="Rectangle 183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70" name="Rectangle 183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71" name="Rectangle 183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72" name="Rectangle 183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73" name="Rectangle 183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74" name="Rectangle 183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75" name="Rectangle 183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76" name="Rectangle 183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77" name="Rectangle 184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78" name="Rectangle 184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79" name="Rectangle 184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80" name="Rectangle 184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81" name="Rectangle 184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82" name="Rectangle 184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83" name="Rectangle 184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84" name="Rectangle 184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85" name="Rectangle 184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86" name="Rectangle 184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87" name="Rectangle 185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88" name="Rectangle 185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89" name="Rectangle 185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90" name="Rectangle 185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91" name="Rectangle 185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92" name="Rectangle 185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93" name="Rectangle 185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94" name="Rectangle 185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95" name="Rectangle 185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96" name="Rectangle 185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97" name="Rectangle 186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98" name="Rectangle 186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3999" name="Rectangle 186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4000" name="Rectangle 186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4001" name="Rectangle 186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4002" name="Rectangle 186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4003" name="Rectangle 186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4004" name="Rectangle 186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4005" name="Rectangle 186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4006" name="Rectangle 186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4007" name="Rectangle 187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4008" name="Rectangle 187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4009" name="Rectangle 187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4010" name="Rectangle 187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4011" name="Rectangle 187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4012" name="Rectangle 187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4013" name="Rectangle 187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4014" name="Rectangle 187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4015" name="Rectangle 1878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4016" name="Rectangle 1879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4017" name="Rectangle 1880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4018" name="Rectangle 1881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4019" name="Rectangle 1882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4020" name="Rectangle 1883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4021" name="Rectangle 1884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4022" name="Rectangle 1885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4023" name="Rectangle 1886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4</xdr:row>
      <xdr:rowOff>485775</xdr:rowOff>
    </xdr:from>
    <xdr:to>
      <xdr:col>16</xdr:col>
      <xdr:colOff>0</xdr:colOff>
      <xdr:row>4</xdr:row>
      <xdr:rowOff>485775</xdr:rowOff>
    </xdr:to>
    <xdr:sp macro="" textlink="">
      <xdr:nvSpPr>
        <xdr:cNvPr id="54024" name="Rectangle 1887"/>
        <xdr:cNvSpPr>
          <a:spLocks noChangeArrowheads="1"/>
        </xdr:cNvSpPr>
      </xdr:nvSpPr>
      <xdr:spPr bwMode="auto">
        <a:xfrm>
          <a:off x="167163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" textlink="">
      <xdr:nvSpPr>
        <xdr:cNvPr id="54025" name="Line 1888"/>
        <xdr:cNvSpPr>
          <a:spLocks noChangeShapeType="1"/>
        </xdr:cNvSpPr>
      </xdr:nvSpPr>
      <xdr:spPr bwMode="auto">
        <a:xfrm>
          <a:off x="16716375" y="1476375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" textlink="">
      <xdr:nvSpPr>
        <xdr:cNvPr id="54026" name="Line 1889"/>
        <xdr:cNvSpPr>
          <a:spLocks noChangeShapeType="1"/>
        </xdr:cNvSpPr>
      </xdr:nvSpPr>
      <xdr:spPr bwMode="auto">
        <a:xfrm>
          <a:off x="16716375" y="1476375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27" name="Rectangle 13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28" name="Rectangle 13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29" name="Rectangle 13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30" name="Rectangle 13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31" name="Rectangle 14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32" name="Rectangle 14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33" name="Rectangle 14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34" name="Rectangle 14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35" name="Rectangle 14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36" name="Rectangle 14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37" name="Rectangle 14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38" name="Rectangle 14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39" name="Rectangle 15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40" name="Rectangle 15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41" name="Rectangle 15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42" name="Rectangle 15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43" name="Rectangle 15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44" name="Rectangle 15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45" name="Rectangle 15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46" name="Rectangle 15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47" name="Rectangle 15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48" name="Rectangle 15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49" name="Rectangle 16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50" name="Rectangle 16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51" name="Rectangle 16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52" name="Rectangle 16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53" name="Rectangle 16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54" name="Rectangle 16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55" name="Rectangle 16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56" name="Rectangle 16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57" name="Rectangle 16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58" name="Rectangle 16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59" name="Rectangle 17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60" name="Rectangle 17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61" name="Rectangle 17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62" name="Rectangle 17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63" name="Rectangle 17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64" name="Rectangle 17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65" name="Rectangle 18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66" name="Rectangle 18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67" name="Rectangle 18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68" name="Rectangle 18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69" name="Rectangle 18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70" name="Rectangle 18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71" name="Rectangle 18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72" name="Rectangle 18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73" name="Rectangle 18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74" name="Rectangle 18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75" name="Rectangle 19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76" name="Rectangle 19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77" name="Rectangle 19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78" name="Rectangle 19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79" name="Rectangle 19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80" name="Rectangle 19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81" name="Rectangle 19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82" name="Rectangle 19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83" name="Rectangle 19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84" name="Rectangle 19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85" name="Rectangle 20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86" name="Rectangle 20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87" name="Rectangle 20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88" name="Rectangle 20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89" name="Rectangle 20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90" name="Rectangle 20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91" name="Rectangle 20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92" name="Rectangle 20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93" name="Rectangle 20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94" name="Rectangle 20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95" name="Rectangle 21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96" name="Rectangle 21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97" name="Rectangle 22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98" name="Rectangle 22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099" name="Rectangle 38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00" name="Rectangle 38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01" name="Rectangle 38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02" name="Rectangle 38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03" name="Rectangle 43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04" name="Rectangle 43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05" name="Rectangle 43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06" name="Rectangle 43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07" name="Rectangle 43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08" name="Rectangle 43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09" name="Rectangle 43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10" name="Rectangle 43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11" name="Rectangle 43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12" name="Rectangle 43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13" name="Rectangle 44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14" name="Rectangle 44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15" name="Rectangle 44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16" name="Rectangle 44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17" name="Rectangle 44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18" name="Rectangle 44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19" name="Rectangle 44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20" name="Rectangle 44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21" name="Rectangle 44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22" name="Rectangle 44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23" name="Rectangle 45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24" name="Rectangle 45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25" name="Rectangle 45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26" name="Rectangle 45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27" name="Rectangle 45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28" name="Rectangle 45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29" name="Rectangle 45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30" name="Rectangle 45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5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54131" name="Line 458"/>
        <xdr:cNvSpPr>
          <a:spLocks noChangeShapeType="1"/>
        </xdr:cNvSpPr>
      </xdr:nvSpPr>
      <xdr:spPr bwMode="auto">
        <a:xfrm>
          <a:off x="20564475" y="1476375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0</xdr:colOff>
      <xdr:row>5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54132" name="Line 459"/>
        <xdr:cNvSpPr>
          <a:spLocks noChangeShapeType="1"/>
        </xdr:cNvSpPr>
      </xdr:nvSpPr>
      <xdr:spPr bwMode="auto">
        <a:xfrm>
          <a:off x="20564475" y="1476375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33" name="Rectangle 57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34" name="Rectangle 57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35" name="Rectangle 57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36" name="Rectangle 57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37" name="Rectangle 58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38" name="Rectangle 58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39" name="Rectangle 58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40" name="Rectangle 58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41" name="Rectangle 58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42" name="Rectangle 58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43" name="Rectangle 58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44" name="Rectangle 58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45" name="Rectangle 59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46" name="Rectangle 59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47" name="Rectangle 59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48" name="Rectangle 59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49" name="Rectangle 59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50" name="Rectangle 59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51" name="Rectangle 59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52" name="Rectangle 59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53" name="Rectangle 59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54" name="Rectangle 59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55" name="Rectangle 60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56" name="Rectangle 60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57" name="Rectangle 60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58" name="Rectangle 60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59" name="Rectangle 60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60" name="Rectangle 60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61" name="Rectangle 60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62" name="Rectangle 60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63" name="Rectangle 60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64" name="Rectangle 60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65" name="Rectangle 61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66" name="Rectangle 61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67" name="Rectangle 61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68" name="Rectangle 61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69" name="Rectangle 61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70" name="Rectangle 61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71" name="Rectangle 62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72" name="Rectangle 62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73" name="Rectangle 62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74" name="Rectangle 62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75" name="Rectangle 62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76" name="Rectangle 62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77" name="Rectangle 62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78" name="Rectangle 62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79" name="Rectangle 62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80" name="Rectangle 62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81" name="Rectangle 63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82" name="Rectangle 63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83" name="Rectangle 63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84" name="Rectangle 63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85" name="Rectangle 63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86" name="Rectangle 63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87" name="Rectangle 63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88" name="Rectangle 63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89" name="Rectangle 63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90" name="Rectangle 63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91" name="Rectangle 64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92" name="Rectangle 64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93" name="Rectangle 64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94" name="Rectangle 64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95" name="Rectangle 64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96" name="Rectangle 64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97" name="Rectangle 64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98" name="Rectangle 64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199" name="Rectangle 64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00" name="Rectangle 64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01" name="Rectangle 65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02" name="Rectangle 65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03" name="Rectangle 66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04" name="Rectangle 66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05" name="Rectangle 82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06" name="Rectangle 82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07" name="Rectangle 82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08" name="Rectangle 82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09" name="Rectangle 87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10" name="Rectangle 87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11" name="Rectangle 87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12" name="Rectangle 87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13" name="Rectangle 87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14" name="Rectangle 87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15" name="Rectangle 87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16" name="Rectangle 87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17" name="Rectangle 87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18" name="Rectangle 87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19" name="Rectangle 88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20" name="Rectangle 88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21" name="Rectangle 88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22" name="Rectangle 88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23" name="Rectangle 88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24" name="Rectangle 88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25" name="Rectangle 88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26" name="Rectangle 88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27" name="Rectangle 88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28" name="Rectangle 88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29" name="Rectangle 89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30" name="Rectangle 89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31" name="Rectangle 89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32" name="Rectangle 89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33" name="Rectangle 89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34" name="Rectangle 89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35" name="Rectangle 89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36" name="Rectangle 89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5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54237" name="Line 898"/>
        <xdr:cNvSpPr>
          <a:spLocks noChangeShapeType="1"/>
        </xdr:cNvSpPr>
      </xdr:nvSpPr>
      <xdr:spPr bwMode="auto">
        <a:xfrm>
          <a:off x="20564475" y="1476375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0</xdr:colOff>
      <xdr:row>5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54238" name="Line 899"/>
        <xdr:cNvSpPr>
          <a:spLocks noChangeShapeType="1"/>
        </xdr:cNvSpPr>
      </xdr:nvSpPr>
      <xdr:spPr bwMode="auto">
        <a:xfrm>
          <a:off x="20564475" y="1476375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39" name="Rectangle 101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40" name="Rectangle 101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41" name="Rectangle 101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42" name="Rectangle 101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43" name="Rectangle 102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44" name="Rectangle 102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45" name="Rectangle 102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46" name="Rectangle 102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47" name="Rectangle 102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48" name="Rectangle 102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49" name="Rectangle 102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50" name="Rectangle 102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51" name="Rectangle 103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52" name="Rectangle 103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53" name="Rectangle 103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54" name="Rectangle 103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55" name="Rectangle 103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56" name="Rectangle 103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57" name="Rectangle 103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58" name="Rectangle 103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59" name="Rectangle 103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60" name="Rectangle 103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61" name="Rectangle 104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62" name="Rectangle 104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63" name="Rectangle 104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64" name="Rectangle 104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65" name="Rectangle 104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66" name="Rectangle 104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67" name="Rectangle 104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68" name="Rectangle 104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69" name="Rectangle 104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70" name="Rectangle 104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71" name="Rectangle 105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72" name="Rectangle 105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73" name="Rectangle 105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74" name="Rectangle 105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75" name="Rectangle 105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76" name="Rectangle 105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77" name="Rectangle 106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78" name="Rectangle 106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79" name="Rectangle 106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80" name="Rectangle 106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81" name="Rectangle 106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82" name="Rectangle 106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83" name="Rectangle 106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84" name="Rectangle 106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85" name="Rectangle 106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86" name="Rectangle 106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87" name="Rectangle 107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88" name="Rectangle 107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89" name="Rectangle 107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90" name="Rectangle 107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91" name="Rectangle 107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92" name="Rectangle 107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93" name="Rectangle 107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94" name="Rectangle 107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95" name="Rectangle 107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96" name="Rectangle 107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97" name="Rectangle 108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98" name="Rectangle 108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299" name="Rectangle 108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00" name="Rectangle 108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01" name="Rectangle 108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02" name="Rectangle 108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03" name="Rectangle 108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04" name="Rectangle 108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05" name="Rectangle 108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06" name="Rectangle 108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07" name="Rectangle 109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08" name="Rectangle 109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09" name="Rectangle 110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10" name="Rectangle 110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11" name="Rectangle 126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12" name="Rectangle 126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13" name="Rectangle 126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14" name="Rectangle 126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15" name="Rectangle 131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16" name="Rectangle 131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17" name="Rectangle 131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18" name="Rectangle 131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19" name="Rectangle 131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20" name="Rectangle 131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21" name="Rectangle 131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22" name="Rectangle 131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23" name="Rectangle 131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24" name="Rectangle 131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25" name="Rectangle 132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26" name="Rectangle 132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27" name="Rectangle 132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28" name="Rectangle 132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29" name="Rectangle 132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30" name="Rectangle 132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31" name="Rectangle 132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32" name="Rectangle 132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33" name="Rectangle 132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34" name="Rectangle 132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35" name="Rectangle 133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36" name="Rectangle 133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37" name="Rectangle 133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38" name="Rectangle 133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39" name="Rectangle 133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40" name="Rectangle 133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41" name="Rectangle 133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42" name="Rectangle 133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5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54343" name="Line 1338"/>
        <xdr:cNvSpPr>
          <a:spLocks noChangeShapeType="1"/>
        </xdr:cNvSpPr>
      </xdr:nvSpPr>
      <xdr:spPr bwMode="auto">
        <a:xfrm>
          <a:off x="20564475" y="1476375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0</xdr:colOff>
      <xdr:row>5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54344" name="Line 1339"/>
        <xdr:cNvSpPr>
          <a:spLocks noChangeShapeType="1"/>
        </xdr:cNvSpPr>
      </xdr:nvSpPr>
      <xdr:spPr bwMode="auto">
        <a:xfrm>
          <a:off x="20564475" y="1476375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45" name="Rectangle 145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46" name="Rectangle 145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47" name="Rectangle 145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48" name="Rectangle 145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49" name="Rectangle 146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50" name="Rectangle 146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51" name="Rectangle 146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52" name="Rectangle 146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53" name="Rectangle 146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54" name="Rectangle 146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55" name="Rectangle 146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56" name="Rectangle 146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57" name="Rectangle 147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58" name="Rectangle 147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59" name="Rectangle 147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60" name="Rectangle 147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61" name="Rectangle 147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62" name="Rectangle 147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63" name="Rectangle 147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64" name="Rectangle 147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65" name="Rectangle 147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66" name="Rectangle 147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67" name="Rectangle 148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68" name="Rectangle 148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69" name="Rectangle 148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70" name="Rectangle 148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71" name="Rectangle 148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72" name="Rectangle 148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73" name="Rectangle 148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74" name="Rectangle 148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75" name="Rectangle 148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76" name="Rectangle 148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77" name="Rectangle 149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78" name="Rectangle 149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79" name="Rectangle 149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80" name="Rectangle 149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81" name="Rectangle 149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82" name="Rectangle 149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83" name="Rectangle 150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84" name="Rectangle 150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85" name="Rectangle 150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86" name="Rectangle 150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87" name="Rectangle 150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88" name="Rectangle 150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89" name="Rectangle 150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90" name="Rectangle 150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91" name="Rectangle 150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92" name="Rectangle 150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93" name="Rectangle 151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94" name="Rectangle 151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95" name="Rectangle 151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96" name="Rectangle 151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97" name="Rectangle 151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98" name="Rectangle 151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399" name="Rectangle 151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00" name="Rectangle 151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01" name="Rectangle 151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02" name="Rectangle 151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03" name="Rectangle 152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04" name="Rectangle 152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05" name="Rectangle 152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06" name="Rectangle 152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07" name="Rectangle 152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08" name="Rectangle 152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09" name="Rectangle 152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10" name="Rectangle 152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11" name="Rectangle 152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12" name="Rectangle 152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13" name="Rectangle 153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14" name="Rectangle 153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15" name="Rectangle 154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16" name="Rectangle 154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17" name="Rectangle 170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18" name="Rectangle 170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19" name="Rectangle 170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20" name="Rectangle 170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21" name="Rectangle 175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22" name="Rectangle 175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23" name="Rectangle 175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24" name="Rectangle 175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25" name="Rectangle 175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26" name="Rectangle 175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27" name="Rectangle 175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28" name="Rectangle 175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29" name="Rectangle 175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30" name="Rectangle 175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31" name="Rectangle 176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32" name="Rectangle 176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33" name="Rectangle 176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34" name="Rectangle 176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35" name="Rectangle 176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36" name="Rectangle 176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37" name="Rectangle 176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38" name="Rectangle 176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39" name="Rectangle 1768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40" name="Rectangle 1769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41" name="Rectangle 1770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42" name="Rectangle 1771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43" name="Rectangle 1772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44" name="Rectangle 1773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45" name="Rectangle 1774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46" name="Rectangle 1775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47" name="Rectangle 1776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4</xdr:row>
      <xdr:rowOff>485775</xdr:rowOff>
    </xdr:from>
    <xdr:to>
      <xdr:col>21</xdr:col>
      <xdr:colOff>0</xdr:colOff>
      <xdr:row>4</xdr:row>
      <xdr:rowOff>485775</xdr:rowOff>
    </xdr:to>
    <xdr:sp macro="" textlink="">
      <xdr:nvSpPr>
        <xdr:cNvPr id="54448" name="Rectangle 1777"/>
        <xdr:cNvSpPr>
          <a:spLocks noChangeArrowheads="1"/>
        </xdr:cNvSpPr>
      </xdr:nvSpPr>
      <xdr:spPr bwMode="auto">
        <a:xfrm>
          <a:off x="20564475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0</xdr:colOff>
      <xdr:row>5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54449" name="Line 1778"/>
        <xdr:cNvSpPr>
          <a:spLocks noChangeShapeType="1"/>
        </xdr:cNvSpPr>
      </xdr:nvSpPr>
      <xdr:spPr bwMode="auto">
        <a:xfrm>
          <a:off x="20564475" y="1476375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0</xdr:colOff>
      <xdr:row>5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54450" name="Line 1779"/>
        <xdr:cNvSpPr>
          <a:spLocks noChangeShapeType="1"/>
        </xdr:cNvSpPr>
      </xdr:nvSpPr>
      <xdr:spPr bwMode="auto">
        <a:xfrm>
          <a:off x="20564475" y="1476375"/>
          <a:ext cx="0" cy="0"/>
        </a:xfrm>
        <a:prstGeom prst="line">
          <a:avLst/>
        </a:prstGeom>
        <a:noFill/>
        <a:ln w="28575">
          <a:solidFill>
            <a:srgbClr val="FF00FF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45</xdr:row>
      <xdr:rowOff>0</xdr:rowOff>
    </xdr:from>
    <xdr:to>
      <xdr:col>15</xdr:col>
      <xdr:colOff>0</xdr:colOff>
      <xdr:row>45</xdr:row>
      <xdr:rowOff>0</xdr:rowOff>
    </xdr:to>
    <xdr:sp macro="" textlink="">
      <xdr:nvSpPr>
        <xdr:cNvPr id="54451" name="Line 18"/>
        <xdr:cNvSpPr>
          <a:spLocks noChangeShapeType="1"/>
        </xdr:cNvSpPr>
      </xdr:nvSpPr>
      <xdr:spPr bwMode="auto">
        <a:xfrm>
          <a:off x="15687675" y="4524375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45</xdr:row>
      <xdr:rowOff>0</xdr:rowOff>
    </xdr:from>
    <xdr:to>
      <xdr:col>15</xdr:col>
      <xdr:colOff>0</xdr:colOff>
      <xdr:row>45</xdr:row>
      <xdr:rowOff>0</xdr:rowOff>
    </xdr:to>
    <xdr:sp macro="" textlink="">
      <xdr:nvSpPr>
        <xdr:cNvPr id="54452" name="Line 28"/>
        <xdr:cNvSpPr>
          <a:spLocks noChangeShapeType="1"/>
        </xdr:cNvSpPr>
      </xdr:nvSpPr>
      <xdr:spPr bwMode="auto">
        <a:xfrm>
          <a:off x="15687675" y="4524375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45</xdr:row>
      <xdr:rowOff>0</xdr:rowOff>
    </xdr:from>
    <xdr:to>
      <xdr:col>15</xdr:col>
      <xdr:colOff>0</xdr:colOff>
      <xdr:row>45</xdr:row>
      <xdr:rowOff>0</xdr:rowOff>
    </xdr:to>
    <xdr:sp macro="" textlink="">
      <xdr:nvSpPr>
        <xdr:cNvPr id="54453" name="Line 46"/>
        <xdr:cNvSpPr>
          <a:spLocks noChangeShapeType="1"/>
        </xdr:cNvSpPr>
      </xdr:nvSpPr>
      <xdr:spPr bwMode="auto">
        <a:xfrm>
          <a:off x="15687675" y="4524375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45</xdr:row>
      <xdr:rowOff>0</xdr:rowOff>
    </xdr:from>
    <xdr:to>
      <xdr:col>15</xdr:col>
      <xdr:colOff>0</xdr:colOff>
      <xdr:row>45</xdr:row>
      <xdr:rowOff>0</xdr:rowOff>
    </xdr:to>
    <xdr:sp macro="" textlink="">
      <xdr:nvSpPr>
        <xdr:cNvPr id="54454" name="Line 47"/>
        <xdr:cNvSpPr>
          <a:spLocks noChangeShapeType="1"/>
        </xdr:cNvSpPr>
      </xdr:nvSpPr>
      <xdr:spPr bwMode="auto">
        <a:xfrm>
          <a:off x="15687675" y="4524375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45</xdr:row>
      <xdr:rowOff>0</xdr:rowOff>
    </xdr:from>
    <xdr:to>
      <xdr:col>15</xdr:col>
      <xdr:colOff>0</xdr:colOff>
      <xdr:row>45</xdr:row>
      <xdr:rowOff>0</xdr:rowOff>
    </xdr:to>
    <xdr:sp macro="" textlink="">
      <xdr:nvSpPr>
        <xdr:cNvPr id="54455" name="Line 48"/>
        <xdr:cNvSpPr>
          <a:spLocks noChangeShapeType="1"/>
        </xdr:cNvSpPr>
      </xdr:nvSpPr>
      <xdr:spPr bwMode="auto">
        <a:xfrm>
          <a:off x="15687675" y="4524375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45</xdr:row>
      <xdr:rowOff>0</xdr:rowOff>
    </xdr:from>
    <xdr:to>
      <xdr:col>15</xdr:col>
      <xdr:colOff>0</xdr:colOff>
      <xdr:row>45</xdr:row>
      <xdr:rowOff>0</xdr:rowOff>
    </xdr:to>
    <xdr:sp macro="" textlink="">
      <xdr:nvSpPr>
        <xdr:cNvPr id="54456" name="Line 49"/>
        <xdr:cNvSpPr>
          <a:spLocks noChangeShapeType="1"/>
        </xdr:cNvSpPr>
      </xdr:nvSpPr>
      <xdr:spPr bwMode="auto">
        <a:xfrm>
          <a:off x="15687675" y="4524375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32</xdr:row>
      <xdr:rowOff>0</xdr:rowOff>
    </xdr:from>
    <xdr:to>
      <xdr:col>15</xdr:col>
      <xdr:colOff>0</xdr:colOff>
      <xdr:row>32</xdr:row>
      <xdr:rowOff>0</xdr:rowOff>
    </xdr:to>
    <xdr:sp macro="" textlink="">
      <xdr:nvSpPr>
        <xdr:cNvPr id="2198" name="Line 18"/>
        <xdr:cNvSpPr>
          <a:spLocks noChangeShapeType="1"/>
        </xdr:cNvSpPr>
      </xdr:nvSpPr>
      <xdr:spPr bwMode="auto">
        <a:xfrm>
          <a:off x="15716250" y="6640286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32</xdr:row>
      <xdr:rowOff>0</xdr:rowOff>
    </xdr:from>
    <xdr:to>
      <xdr:col>15</xdr:col>
      <xdr:colOff>0</xdr:colOff>
      <xdr:row>32</xdr:row>
      <xdr:rowOff>0</xdr:rowOff>
    </xdr:to>
    <xdr:sp macro="" textlink="">
      <xdr:nvSpPr>
        <xdr:cNvPr id="2199" name="Line 28"/>
        <xdr:cNvSpPr>
          <a:spLocks noChangeShapeType="1"/>
        </xdr:cNvSpPr>
      </xdr:nvSpPr>
      <xdr:spPr bwMode="auto">
        <a:xfrm>
          <a:off x="15716250" y="6640286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32</xdr:row>
      <xdr:rowOff>0</xdr:rowOff>
    </xdr:from>
    <xdr:to>
      <xdr:col>15</xdr:col>
      <xdr:colOff>0</xdr:colOff>
      <xdr:row>32</xdr:row>
      <xdr:rowOff>0</xdr:rowOff>
    </xdr:to>
    <xdr:sp macro="" textlink="">
      <xdr:nvSpPr>
        <xdr:cNvPr id="2200" name="Line 46"/>
        <xdr:cNvSpPr>
          <a:spLocks noChangeShapeType="1"/>
        </xdr:cNvSpPr>
      </xdr:nvSpPr>
      <xdr:spPr bwMode="auto">
        <a:xfrm>
          <a:off x="15716250" y="6640286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32</xdr:row>
      <xdr:rowOff>0</xdr:rowOff>
    </xdr:from>
    <xdr:to>
      <xdr:col>15</xdr:col>
      <xdr:colOff>0</xdr:colOff>
      <xdr:row>32</xdr:row>
      <xdr:rowOff>0</xdr:rowOff>
    </xdr:to>
    <xdr:sp macro="" textlink="">
      <xdr:nvSpPr>
        <xdr:cNvPr id="2201" name="Line 47"/>
        <xdr:cNvSpPr>
          <a:spLocks noChangeShapeType="1"/>
        </xdr:cNvSpPr>
      </xdr:nvSpPr>
      <xdr:spPr bwMode="auto">
        <a:xfrm>
          <a:off x="15716250" y="6640286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32</xdr:row>
      <xdr:rowOff>0</xdr:rowOff>
    </xdr:from>
    <xdr:to>
      <xdr:col>15</xdr:col>
      <xdr:colOff>0</xdr:colOff>
      <xdr:row>32</xdr:row>
      <xdr:rowOff>0</xdr:rowOff>
    </xdr:to>
    <xdr:sp macro="" textlink="">
      <xdr:nvSpPr>
        <xdr:cNvPr id="2202" name="Line 48"/>
        <xdr:cNvSpPr>
          <a:spLocks noChangeShapeType="1"/>
        </xdr:cNvSpPr>
      </xdr:nvSpPr>
      <xdr:spPr bwMode="auto">
        <a:xfrm>
          <a:off x="15716250" y="6640286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32</xdr:row>
      <xdr:rowOff>0</xdr:rowOff>
    </xdr:from>
    <xdr:to>
      <xdr:col>15</xdr:col>
      <xdr:colOff>0</xdr:colOff>
      <xdr:row>32</xdr:row>
      <xdr:rowOff>0</xdr:rowOff>
    </xdr:to>
    <xdr:sp macro="" textlink="">
      <xdr:nvSpPr>
        <xdr:cNvPr id="2203" name="Line 49"/>
        <xdr:cNvSpPr>
          <a:spLocks noChangeShapeType="1"/>
        </xdr:cNvSpPr>
      </xdr:nvSpPr>
      <xdr:spPr bwMode="auto">
        <a:xfrm>
          <a:off x="15716250" y="6640286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33</xdr:row>
      <xdr:rowOff>0</xdr:rowOff>
    </xdr:from>
    <xdr:to>
      <xdr:col>15</xdr:col>
      <xdr:colOff>0</xdr:colOff>
      <xdr:row>33</xdr:row>
      <xdr:rowOff>0</xdr:rowOff>
    </xdr:to>
    <xdr:sp macro="" textlink="">
      <xdr:nvSpPr>
        <xdr:cNvPr id="2204" name="Line 18"/>
        <xdr:cNvSpPr>
          <a:spLocks noChangeShapeType="1"/>
        </xdr:cNvSpPr>
      </xdr:nvSpPr>
      <xdr:spPr bwMode="auto">
        <a:xfrm>
          <a:off x="15716250" y="6830786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33</xdr:row>
      <xdr:rowOff>0</xdr:rowOff>
    </xdr:from>
    <xdr:to>
      <xdr:col>15</xdr:col>
      <xdr:colOff>0</xdr:colOff>
      <xdr:row>33</xdr:row>
      <xdr:rowOff>0</xdr:rowOff>
    </xdr:to>
    <xdr:sp macro="" textlink="">
      <xdr:nvSpPr>
        <xdr:cNvPr id="2205" name="Line 28"/>
        <xdr:cNvSpPr>
          <a:spLocks noChangeShapeType="1"/>
        </xdr:cNvSpPr>
      </xdr:nvSpPr>
      <xdr:spPr bwMode="auto">
        <a:xfrm>
          <a:off x="15716250" y="6830786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33</xdr:row>
      <xdr:rowOff>0</xdr:rowOff>
    </xdr:from>
    <xdr:to>
      <xdr:col>15</xdr:col>
      <xdr:colOff>0</xdr:colOff>
      <xdr:row>33</xdr:row>
      <xdr:rowOff>0</xdr:rowOff>
    </xdr:to>
    <xdr:sp macro="" textlink="">
      <xdr:nvSpPr>
        <xdr:cNvPr id="2206" name="Line 46"/>
        <xdr:cNvSpPr>
          <a:spLocks noChangeShapeType="1"/>
        </xdr:cNvSpPr>
      </xdr:nvSpPr>
      <xdr:spPr bwMode="auto">
        <a:xfrm>
          <a:off x="15716250" y="6830786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33</xdr:row>
      <xdr:rowOff>0</xdr:rowOff>
    </xdr:from>
    <xdr:to>
      <xdr:col>15</xdr:col>
      <xdr:colOff>0</xdr:colOff>
      <xdr:row>33</xdr:row>
      <xdr:rowOff>0</xdr:rowOff>
    </xdr:to>
    <xdr:sp macro="" textlink="">
      <xdr:nvSpPr>
        <xdr:cNvPr id="2207" name="Line 47"/>
        <xdr:cNvSpPr>
          <a:spLocks noChangeShapeType="1"/>
        </xdr:cNvSpPr>
      </xdr:nvSpPr>
      <xdr:spPr bwMode="auto">
        <a:xfrm>
          <a:off x="15716250" y="6830786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33</xdr:row>
      <xdr:rowOff>0</xdr:rowOff>
    </xdr:from>
    <xdr:to>
      <xdr:col>15</xdr:col>
      <xdr:colOff>0</xdr:colOff>
      <xdr:row>33</xdr:row>
      <xdr:rowOff>0</xdr:rowOff>
    </xdr:to>
    <xdr:sp macro="" textlink="">
      <xdr:nvSpPr>
        <xdr:cNvPr id="2208" name="Line 48"/>
        <xdr:cNvSpPr>
          <a:spLocks noChangeShapeType="1"/>
        </xdr:cNvSpPr>
      </xdr:nvSpPr>
      <xdr:spPr bwMode="auto">
        <a:xfrm>
          <a:off x="15716250" y="6830786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33</xdr:row>
      <xdr:rowOff>0</xdr:rowOff>
    </xdr:from>
    <xdr:to>
      <xdr:col>15</xdr:col>
      <xdr:colOff>0</xdr:colOff>
      <xdr:row>33</xdr:row>
      <xdr:rowOff>0</xdr:rowOff>
    </xdr:to>
    <xdr:sp macro="" textlink="">
      <xdr:nvSpPr>
        <xdr:cNvPr id="2209" name="Line 49"/>
        <xdr:cNvSpPr>
          <a:spLocks noChangeShapeType="1"/>
        </xdr:cNvSpPr>
      </xdr:nvSpPr>
      <xdr:spPr bwMode="auto">
        <a:xfrm>
          <a:off x="15716250" y="6830786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51</xdr:row>
      <xdr:rowOff>0</xdr:rowOff>
    </xdr:from>
    <xdr:to>
      <xdr:col>19</xdr:col>
      <xdr:colOff>0</xdr:colOff>
      <xdr:row>51</xdr:row>
      <xdr:rowOff>0</xdr:rowOff>
    </xdr:to>
    <xdr:sp macro="" textlink="">
      <xdr:nvSpPr>
        <xdr:cNvPr id="4" name="Line 18"/>
        <xdr:cNvSpPr>
          <a:spLocks noChangeShapeType="1"/>
        </xdr:cNvSpPr>
      </xdr:nvSpPr>
      <xdr:spPr bwMode="auto">
        <a:xfrm>
          <a:off x="26898600" y="10229850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51</xdr:row>
      <xdr:rowOff>0</xdr:rowOff>
    </xdr:from>
    <xdr:to>
      <xdr:col>19</xdr:col>
      <xdr:colOff>0</xdr:colOff>
      <xdr:row>51</xdr:row>
      <xdr:rowOff>0</xdr:rowOff>
    </xdr:to>
    <xdr:sp macro="" textlink="">
      <xdr:nvSpPr>
        <xdr:cNvPr id="5" name="Line 28"/>
        <xdr:cNvSpPr>
          <a:spLocks noChangeShapeType="1"/>
        </xdr:cNvSpPr>
      </xdr:nvSpPr>
      <xdr:spPr bwMode="auto">
        <a:xfrm>
          <a:off x="26898600" y="10229850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51</xdr:row>
      <xdr:rowOff>0</xdr:rowOff>
    </xdr:from>
    <xdr:to>
      <xdr:col>19</xdr:col>
      <xdr:colOff>0</xdr:colOff>
      <xdr:row>51</xdr:row>
      <xdr:rowOff>0</xdr:rowOff>
    </xdr:to>
    <xdr:sp macro="" textlink="">
      <xdr:nvSpPr>
        <xdr:cNvPr id="6" name="Line 46"/>
        <xdr:cNvSpPr>
          <a:spLocks noChangeShapeType="1"/>
        </xdr:cNvSpPr>
      </xdr:nvSpPr>
      <xdr:spPr bwMode="auto">
        <a:xfrm>
          <a:off x="26898600" y="10229850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51</xdr:row>
      <xdr:rowOff>0</xdr:rowOff>
    </xdr:from>
    <xdr:to>
      <xdr:col>19</xdr:col>
      <xdr:colOff>0</xdr:colOff>
      <xdr:row>51</xdr:row>
      <xdr:rowOff>0</xdr:rowOff>
    </xdr:to>
    <xdr:sp macro="" textlink="">
      <xdr:nvSpPr>
        <xdr:cNvPr id="7" name="Line 47"/>
        <xdr:cNvSpPr>
          <a:spLocks noChangeShapeType="1"/>
        </xdr:cNvSpPr>
      </xdr:nvSpPr>
      <xdr:spPr bwMode="auto">
        <a:xfrm>
          <a:off x="26898600" y="10229850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51</xdr:row>
      <xdr:rowOff>0</xdr:rowOff>
    </xdr:from>
    <xdr:to>
      <xdr:col>19</xdr:col>
      <xdr:colOff>0</xdr:colOff>
      <xdr:row>51</xdr:row>
      <xdr:rowOff>0</xdr:rowOff>
    </xdr:to>
    <xdr:sp macro="" textlink="">
      <xdr:nvSpPr>
        <xdr:cNvPr id="8" name="Line 48"/>
        <xdr:cNvSpPr>
          <a:spLocks noChangeShapeType="1"/>
        </xdr:cNvSpPr>
      </xdr:nvSpPr>
      <xdr:spPr bwMode="auto">
        <a:xfrm>
          <a:off x="26898600" y="10229850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51</xdr:row>
      <xdr:rowOff>0</xdr:rowOff>
    </xdr:from>
    <xdr:to>
      <xdr:col>19</xdr:col>
      <xdr:colOff>0</xdr:colOff>
      <xdr:row>51</xdr:row>
      <xdr:rowOff>0</xdr:rowOff>
    </xdr:to>
    <xdr:sp macro="" textlink="">
      <xdr:nvSpPr>
        <xdr:cNvPr id="9" name="Line 49"/>
        <xdr:cNvSpPr>
          <a:spLocks noChangeShapeType="1"/>
        </xdr:cNvSpPr>
      </xdr:nvSpPr>
      <xdr:spPr bwMode="auto">
        <a:xfrm>
          <a:off x="26898600" y="10229850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0" name="Rectangle 13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1" name="Rectangle 13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2" name="Rectangle 13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3" name="Rectangle 13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4" name="Rectangle 13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5" name="Rectangle 13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6" name="Rectangle 14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7" name="Rectangle 14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8" name="Rectangle 17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9" name="Rectangle 17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0" name="Rectangle 17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1" name="Rectangle 17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2" name="Rectangle 21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3" name="Rectangle 21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4" name="Rectangle 21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5" name="Rectangle 21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6" name="Rectangle 21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7" name="Rectangle 21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8" name="Rectangle 21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9" name="Rectangle 21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0" name="Rectangle 22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1" name="Rectangle 22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2" name="Rectangle 22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3" name="Rectangle 22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4" name="Rectangle 22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5" name="Rectangle 22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6" name="Rectangle 22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7" name="Rectangle 22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8" name="Rectangle 23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9" name="Rectangle 23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0" name="Rectangle 23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1" name="Rectangle 23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2" name="Rectangle 23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3" name="Rectangle 23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4" name="Rectangle 23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5" name="Rectangle 23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6" name="Rectangle 23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7" name="Rectangle 23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8" name="Rectangle 24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9" name="Rectangle 24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0" name="Rectangle 24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1" name="Rectangle 24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2" name="Rectangle 24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3" name="Rectangle 24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4" name="Rectangle 24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5" name="Rectangle 24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6" name="Rectangle 24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7" name="Rectangle 24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8" name="Rectangle 25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9" name="Rectangle 25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0" name="Rectangle 25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1" name="Rectangle 25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2" name="Rectangle 25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3" name="Rectangle 25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4" name="Rectangle 25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5" name="Rectangle 25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6" name="Rectangle 25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7" name="Rectangle 25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8" name="Rectangle 26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9" name="Rectangle 26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0" name="Rectangle 26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1" name="Rectangle 26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2" name="Rectangle 26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3" name="Rectangle 26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4" name="Rectangle 26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5" name="Rectangle 26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6" name="Rectangle 26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7" name="Rectangle 26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8" name="Rectangle 27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9" name="Rectangle 27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0" name="Rectangle 27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1" name="Rectangle 27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2" name="Rectangle 27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3" name="Rectangle 27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4" name="Rectangle 27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5" name="Rectangle 27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6" name="Rectangle 27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7" name="Rectangle 27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8" name="Rectangle 28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9" name="Rectangle 28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90" name="Rectangle 28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91" name="Rectangle 28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92" name="Rectangle 28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93" name="Rectangle 28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94" name="Rectangle 28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95" name="Rectangle 28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96" name="Rectangle 28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97" name="Rectangle 28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98" name="Rectangle 29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99" name="Rectangle 29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00" name="Rectangle 29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01" name="Rectangle 29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02" name="Rectangle 29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03" name="Rectangle 29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04" name="Rectangle 29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05" name="Rectangle 29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06" name="Rectangle 29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07" name="Rectangle 29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08" name="Rectangle 30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09" name="Rectangle 30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10" name="Rectangle 30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11" name="Rectangle 30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12" name="Rectangle 30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13" name="Rectangle 30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14" name="Rectangle 30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15" name="Rectangle 30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16" name="Rectangle 30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17" name="Rectangle 30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18" name="Rectangle 31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19" name="Rectangle 31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20" name="Rectangle 31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21" name="Rectangle 31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22" name="Rectangle 31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23" name="Rectangle 31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24" name="Rectangle 31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25" name="Rectangle 31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26" name="Rectangle 31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27" name="Rectangle 31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28" name="Rectangle 32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29" name="Rectangle 32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30" name="Rectangle 32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31" name="Rectangle 32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32" name="Rectangle 32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33" name="Rectangle 32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34" name="Rectangle 32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35" name="Rectangle 32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36" name="Rectangle 32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37" name="Rectangle 32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38" name="Rectangle 33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39" name="Rectangle 33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40" name="Rectangle 33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41" name="Rectangle 33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42" name="Rectangle 33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43" name="Rectangle 33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44" name="Rectangle 33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45" name="Rectangle 33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46" name="Rectangle 33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47" name="Rectangle 33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48" name="Rectangle 34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49" name="Rectangle 34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50" name="Rectangle 34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51" name="Rectangle 34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52" name="Rectangle 34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53" name="Rectangle 34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54" name="Rectangle 34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55" name="Rectangle 34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56" name="Rectangle 34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57" name="Rectangle 34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58" name="Rectangle 35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59" name="Rectangle 35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60" name="Rectangle 35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61" name="Rectangle 35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62" name="Rectangle 35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63" name="Rectangle 35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64" name="Rectangle 35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65" name="Rectangle 35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66" name="Rectangle 35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67" name="Rectangle 35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68" name="Rectangle 36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69" name="Rectangle 36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70" name="Rectangle 36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71" name="Rectangle 36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72" name="Rectangle 36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73" name="Rectangle 36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74" name="Rectangle 36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75" name="Rectangle 36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76" name="Rectangle 36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77" name="Rectangle 36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78" name="Rectangle 37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79" name="Rectangle 37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80" name="Rectangle 37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81" name="Rectangle 37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82" name="Rectangle 37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83" name="Rectangle 37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84" name="Rectangle 37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85" name="Rectangle 37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86" name="Rectangle 37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87" name="Rectangle 37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88" name="Rectangle 38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89" name="Rectangle 38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90" name="Rectangle 38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91" name="Rectangle 38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92" name="Rectangle 38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93" name="Rectangle 38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94" name="Rectangle 39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95" name="Rectangle 39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96" name="Rectangle 39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97" name="Rectangle 39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98" name="Rectangle 39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199" name="Rectangle 39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00" name="Rectangle 39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01" name="Rectangle 39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02" name="Rectangle 39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03" name="Rectangle 39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04" name="Rectangle 40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05" name="Rectangle 40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06" name="Rectangle 40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07" name="Rectangle 40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08" name="Rectangle 40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09" name="Rectangle 40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10" name="Rectangle 40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11" name="Rectangle 40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12" name="Rectangle 40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13" name="Rectangle 40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14" name="Rectangle 41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15" name="Rectangle 41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16" name="Rectangle 41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17" name="Rectangle 41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18" name="Rectangle 41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19" name="Rectangle 41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20" name="Rectangle 41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21" name="Rectangle 41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22" name="Rectangle 41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23" name="Rectangle 41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24" name="Rectangle 42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25" name="Rectangle 42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26" name="Rectangle 42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27" name="Rectangle 42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28" name="Rectangle 42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29" name="Rectangle 42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30" name="Rectangle 42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31" name="Rectangle 42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32" name="Rectangle 42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33" name="Rectangle 42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34" name="Rectangle 57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35" name="Rectangle 57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36" name="Rectangle 57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37" name="Rectangle 57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38" name="Rectangle 57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39" name="Rectangle 57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40" name="Rectangle 58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41" name="Rectangle 58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42" name="Rectangle 61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43" name="Rectangle 61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44" name="Rectangle 61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45" name="Rectangle 61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46" name="Rectangle 65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47" name="Rectangle 65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48" name="Rectangle 65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49" name="Rectangle 65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50" name="Rectangle 65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51" name="Rectangle 65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52" name="Rectangle 65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53" name="Rectangle 65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54" name="Rectangle 66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55" name="Rectangle 66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56" name="Rectangle 66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57" name="Rectangle 66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58" name="Rectangle 66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59" name="Rectangle 66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60" name="Rectangle 66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61" name="Rectangle 66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62" name="Rectangle 67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63" name="Rectangle 67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64" name="Rectangle 67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65" name="Rectangle 67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66" name="Rectangle 67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67" name="Rectangle 67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68" name="Rectangle 67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69" name="Rectangle 67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70" name="Rectangle 67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71" name="Rectangle 67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72" name="Rectangle 68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73" name="Rectangle 68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74" name="Rectangle 68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75" name="Rectangle 68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76" name="Rectangle 68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77" name="Rectangle 68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78" name="Rectangle 68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79" name="Rectangle 68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80" name="Rectangle 68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81" name="Rectangle 68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82" name="Rectangle 69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83" name="Rectangle 69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84" name="Rectangle 69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85" name="Rectangle 69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86" name="Rectangle 69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87" name="Rectangle 69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88" name="Rectangle 69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89" name="Rectangle 69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90" name="Rectangle 69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91" name="Rectangle 69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92" name="Rectangle 70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93" name="Rectangle 70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94" name="Rectangle 70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95" name="Rectangle 70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96" name="Rectangle 70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97" name="Rectangle 70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98" name="Rectangle 70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299" name="Rectangle 70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00" name="Rectangle 70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01" name="Rectangle 70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02" name="Rectangle 71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03" name="Rectangle 71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04" name="Rectangle 71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05" name="Rectangle 71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06" name="Rectangle 71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07" name="Rectangle 71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08" name="Rectangle 71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09" name="Rectangle 71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10" name="Rectangle 71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11" name="Rectangle 71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12" name="Rectangle 72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13" name="Rectangle 72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14" name="Rectangle 72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15" name="Rectangle 72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16" name="Rectangle 72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17" name="Rectangle 72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18" name="Rectangle 72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19" name="Rectangle 72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20" name="Rectangle 72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21" name="Rectangle 72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22" name="Rectangle 73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23" name="Rectangle 73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24" name="Rectangle 73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25" name="Rectangle 73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26" name="Rectangle 73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27" name="Rectangle 73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28" name="Rectangle 73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29" name="Rectangle 73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30" name="Rectangle 73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31" name="Rectangle 73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32" name="Rectangle 74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33" name="Rectangle 74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34" name="Rectangle 74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35" name="Rectangle 74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36" name="Rectangle 74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37" name="Rectangle 74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38" name="Rectangle 74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39" name="Rectangle 74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40" name="Rectangle 74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41" name="Rectangle 74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42" name="Rectangle 75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43" name="Rectangle 75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44" name="Rectangle 75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45" name="Rectangle 75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46" name="Rectangle 75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47" name="Rectangle 75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48" name="Rectangle 75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49" name="Rectangle 75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50" name="Rectangle 75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51" name="Rectangle 75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52" name="Rectangle 76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53" name="Rectangle 76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54" name="Rectangle 76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55" name="Rectangle 76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56" name="Rectangle 76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57" name="Rectangle 76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58" name="Rectangle 76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59" name="Rectangle 76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60" name="Rectangle 76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61" name="Rectangle 76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62" name="Rectangle 77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63" name="Rectangle 77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64" name="Rectangle 77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65" name="Rectangle 77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66" name="Rectangle 77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67" name="Rectangle 77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68" name="Rectangle 77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69" name="Rectangle 77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70" name="Rectangle 77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71" name="Rectangle 77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72" name="Rectangle 78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73" name="Rectangle 78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74" name="Rectangle 78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75" name="Rectangle 78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76" name="Rectangle 78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77" name="Rectangle 78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78" name="Rectangle 78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79" name="Rectangle 78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80" name="Rectangle 78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81" name="Rectangle 78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82" name="Rectangle 79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83" name="Rectangle 79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84" name="Rectangle 79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85" name="Rectangle 79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86" name="Rectangle 79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87" name="Rectangle 79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88" name="Rectangle 79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89" name="Rectangle 79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90" name="Rectangle 79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91" name="Rectangle 79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92" name="Rectangle 80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93" name="Rectangle 80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94" name="Rectangle 80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95" name="Rectangle 80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96" name="Rectangle 80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97" name="Rectangle 80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98" name="Rectangle 80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399" name="Rectangle 80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00" name="Rectangle 80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01" name="Rectangle 80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02" name="Rectangle 81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03" name="Rectangle 81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04" name="Rectangle 81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05" name="Rectangle 81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06" name="Rectangle 81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07" name="Rectangle 81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08" name="Rectangle 81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09" name="Rectangle 81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10" name="Rectangle 81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11" name="Rectangle 81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12" name="Rectangle 82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13" name="Rectangle 82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14" name="Rectangle 82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15" name="Rectangle 82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16" name="Rectangle 82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17" name="Rectangle 82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18" name="Rectangle 83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19" name="Rectangle 83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20" name="Rectangle 83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21" name="Rectangle 83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22" name="Rectangle 83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23" name="Rectangle 83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24" name="Rectangle 83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25" name="Rectangle 83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26" name="Rectangle 83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27" name="Rectangle 83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28" name="Rectangle 84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29" name="Rectangle 84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30" name="Rectangle 84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31" name="Rectangle 84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32" name="Rectangle 84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33" name="Rectangle 84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34" name="Rectangle 84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35" name="Rectangle 84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36" name="Rectangle 84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37" name="Rectangle 84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38" name="Rectangle 85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39" name="Rectangle 85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40" name="Rectangle 85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41" name="Rectangle 85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42" name="Rectangle 85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43" name="Rectangle 85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44" name="Rectangle 85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45" name="Rectangle 85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46" name="Rectangle 85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47" name="Rectangle 85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48" name="Rectangle 86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49" name="Rectangle 86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50" name="Rectangle 86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51" name="Rectangle 86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52" name="Rectangle 86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53" name="Rectangle 86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54" name="Rectangle 86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55" name="Rectangle 86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56" name="Rectangle 86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57" name="Rectangle 86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58" name="Rectangle 101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59" name="Rectangle 101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60" name="Rectangle 101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61" name="Rectangle 101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62" name="Rectangle 101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63" name="Rectangle 101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64" name="Rectangle 102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65" name="Rectangle 102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66" name="Rectangle 105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67" name="Rectangle 105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68" name="Rectangle 105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69" name="Rectangle 105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70" name="Rectangle 109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71" name="Rectangle 109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72" name="Rectangle 109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73" name="Rectangle 109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74" name="Rectangle 109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75" name="Rectangle 109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76" name="Rectangle 109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77" name="Rectangle 109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78" name="Rectangle 110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79" name="Rectangle 110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80" name="Rectangle 110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81" name="Rectangle 110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82" name="Rectangle 110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83" name="Rectangle 110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84" name="Rectangle 110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85" name="Rectangle 110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86" name="Rectangle 111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87" name="Rectangle 111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88" name="Rectangle 111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89" name="Rectangle 111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90" name="Rectangle 111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91" name="Rectangle 111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92" name="Rectangle 111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93" name="Rectangle 111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94" name="Rectangle 111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95" name="Rectangle 111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96" name="Rectangle 112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97" name="Rectangle 112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98" name="Rectangle 112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499" name="Rectangle 112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00" name="Rectangle 112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01" name="Rectangle 112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02" name="Rectangle 112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03" name="Rectangle 112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04" name="Rectangle 112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05" name="Rectangle 112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06" name="Rectangle 113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07" name="Rectangle 113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08" name="Rectangle 113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09" name="Rectangle 113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10" name="Rectangle 113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11" name="Rectangle 113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12" name="Rectangle 113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13" name="Rectangle 113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14" name="Rectangle 113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15" name="Rectangle 113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16" name="Rectangle 114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17" name="Rectangle 114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18" name="Rectangle 114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19" name="Rectangle 114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20" name="Rectangle 114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21" name="Rectangle 114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22" name="Rectangle 114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23" name="Rectangle 114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24" name="Rectangle 114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25" name="Rectangle 114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26" name="Rectangle 115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27" name="Rectangle 115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28" name="Rectangle 115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29" name="Rectangle 115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30" name="Rectangle 115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31" name="Rectangle 115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32" name="Rectangle 115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33" name="Rectangle 115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34" name="Rectangle 115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35" name="Rectangle 115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36" name="Rectangle 116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37" name="Rectangle 116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38" name="Rectangle 116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39" name="Rectangle 116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40" name="Rectangle 116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41" name="Rectangle 116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42" name="Rectangle 116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43" name="Rectangle 116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44" name="Rectangle 116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45" name="Rectangle 116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46" name="Rectangle 117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47" name="Rectangle 117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48" name="Rectangle 117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49" name="Rectangle 117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50" name="Rectangle 117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51" name="Rectangle 117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52" name="Rectangle 117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53" name="Rectangle 117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54" name="Rectangle 117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55" name="Rectangle 117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56" name="Rectangle 118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57" name="Rectangle 118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58" name="Rectangle 118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59" name="Rectangle 118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60" name="Rectangle 118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61" name="Rectangle 118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62" name="Rectangle 118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63" name="Rectangle 118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64" name="Rectangle 118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65" name="Rectangle 118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66" name="Rectangle 119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67" name="Rectangle 119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68" name="Rectangle 119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69" name="Rectangle 119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70" name="Rectangle 119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71" name="Rectangle 119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72" name="Rectangle 119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73" name="Rectangle 119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74" name="Rectangle 119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75" name="Rectangle 119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76" name="Rectangle 120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77" name="Rectangle 120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78" name="Rectangle 120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79" name="Rectangle 120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80" name="Rectangle 120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81" name="Rectangle 120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82" name="Rectangle 120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83" name="Rectangle 120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84" name="Rectangle 120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85" name="Rectangle 120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86" name="Rectangle 121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87" name="Rectangle 121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88" name="Rectangle 121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89" name="Rectangle 121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90" name="Rectangle 121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91" name="Rectangle 121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92" name="Rectangle 121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93" name="Rectangle 121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94" name="Rectangle 121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95" name="Rectangle 121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96" name="Rectangle 122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97" name="Rectangle 122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98" name="Rectangle 122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599" name="Rectangle 122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00" name="Rectangle 122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01" name="Rectangle 122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02" name="Rectangle 122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03" name="Rectangle 122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04" name="Rectangle 122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05" name="Rectangle 122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06" name="Rectangle 123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07" name="Rectangle 123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08" name="Rectangle 123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09" name="Rectangle 123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10" name="Rectangle 123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11" name="Rectangle 123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12" name="Rectangle 123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13" name="Rectangle 123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14" name="Rectangle 123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15" name="Rectangle 123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16" name="Rectangle 124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17" name="Rectangle 124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18" name="Rectangle 124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19" name="Rectangle 124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20" name="Rectangle 124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21" name="Rectangle 124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22" name="Rectangle 124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23" name="Rectangle 124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24" name="Rectangle 124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25" name="Rectangle 124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26" name="Rectangle 125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27" name="Rectangle 125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28" name="Rectangle 125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29" name="Rectangle 125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30" name="Rectangle 125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31" name="Rectangle 125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32" name="Rectangle 125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33" name="Rectangle 125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34" name="Rectangle 125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35" name="Rectangle 125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36" name="Rectangle 126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37" name="Rectangle 126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38" name="Rectangle 126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39" name="Rectangle 126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40" name="Rectangle 126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41" name="Rectangle 126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42" name="Rectangle 127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43" name="Rectangle 127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44" name="Rectangle 127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45" name="Rectangle 127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46" name="Rectangle 127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47" name="Rectangle 127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48" name="Rectangle 127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49" name="Rectangle 127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50" name="Rectangle 127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51" name="Rectangle 127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52" name="Rectangle 128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53" name="Rectangle 128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54" name="Rectangle 128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55" name="Rectangle 128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56" name="Rectangle 128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57" name="Rectangle 128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58" name="Rectangle 128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59" name="Rectangle 128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60" name="Rectangle 128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61" name="Rectangle 128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62" name="Rectangle 129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63" name="Rectangle 129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64" name="Rectangle 129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65" name="Rectangle 129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66" name="Rectangle 129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67" name="Rectangle 129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68" name="Rectangle 129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69" name="Rectangle 129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70" name="Rectangle 129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71" name="Rectangle 129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72" name="Rectangle 130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73" name="Rectangle 130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74" name="Rectangle 130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75" name="Rectangle 130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76" name="Rectangle 130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77" name="Rectangle 130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78" name="Rectangle 130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79" name="Rectangle 130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80" name="Rectangle 130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81" name="Rectangle 130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82" name="Rectangle 145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83" name="Rectangle 145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84" name="Rectangle 145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85" name="Rectangle 145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86" name="Rectangle 145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87" name="Rectangle 145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88" name="Rectangle 146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89" name="Rectangle 146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90" name="Rectangle 149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91" name="Rectangle 149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92" name="Rectangle 149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93" name="Rectangle 149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94" name="Rectangle 153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95" name="Rectangle 153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96" name="Rectangle 153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97" name="Rectangle 153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98" name="Rectangle 153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699" name="Rectangle 153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00" name="Rectangle 153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01" name="Rectangle 153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02" name="Rectangle 154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03" name="Rectangle 154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04" name="Rectangle 154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05" name="Rectangle 154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06" name="Rectangle 154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07" name="Rectangle 154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08" name="Rectangle 154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09" name="Rectangle 154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10" name="Rectangle 155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11" name="Rectangle 155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12" name="Rectangle 155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13" name="Rectangle 155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14" name="Rectangle 155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15" name="Rectangle 155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16" name="Rectangle 155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17" name="Rectangle 155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18" name="Rectangle 155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19" name="Rectangle 155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20" name="Rectangle 156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21" name="Rectangle 156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22" name="Rectangle 156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23" name="Rectangle 156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24" name="Rectangle 156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25" name="Rectangle 156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26" name="Rectangle 156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27" name="Rectangle 156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28" name="Rectangle 156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29" name="Rectangle 156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30" name="Rectangle 157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31" name="Rectangle 157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32" name="Rectangle 157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33" name="Rectangle 157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34" name="Rectangle 157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35" name="Rectangle 157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36" name="Rectangle 157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37" name="Rectangle 157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38" name="Rectangle 157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39" name="Rectangle 157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40" name="Rectangle 158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41" name="Rectangle 158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42" name="Rectangle 158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43" name="Rectangle 158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44" name="Rectangle 158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45" name="Rectangle 158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46" name="Rectangle 158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47" name="Rectangle 158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48" name="Rectangle 158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49" name="Rectangle 158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50" name="Rectangle 159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51" name="Rectangle 159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52" name="Rectangle 159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53" name="Rectangle 159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54" name="Rectangle 159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55" name="Rectangle 159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56" name="Rectangle 159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57" name="Rectangle 159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58" name="Rectangle 159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59" name="Rectangle 159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60" name="Rectangle 160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61" name="Rectangle 160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62" name="Rectangle 160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63" name="Rectangle 160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64" name="Rectangle 160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65" name="Rectangle 160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66" name="Rectangle 160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67" name="Rectangle 160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68" name="Rectangle 160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69" name="Rectangle 160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70" name="Rectangle 161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71" name="Rectangle 161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72" name="Rectangle 161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73" name="Rectangle 161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74" name="Rectangle 161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75" name="Rectangle 161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76" name="Rectangle 161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77" name="Rectangle 161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78" name="Rectangle 161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79" name="Rectangle 161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80" name="Rectangle 162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81" name="Rectangle 162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82" name="Rectangle 162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83" name="Rectangle 162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84" name="Rectangle 162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85" name="Rectangle 162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86" name="Rectangle 162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87" name="Rectangle 162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88" name="Rectangle 162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89" name="Rectangle 162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90" name="Rectangle 163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91" name="Rectangle 163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92" name="Rectangle 163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93" name="Rectangle 163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94" name="Rectangle 163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95" name="Rectangle 163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96" name="Rectangle 163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97" name="Rectangle 163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98" name="Rectangle 163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799" name="Rectangle 163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00" name="Rectangle 164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01" name="Rectangle 164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02" name="Rectangle 164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03" name="Rectangle 164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04" name="Rectangle 164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05" name="Rectangle 164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06" name="Rectangle 164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07" name="Rectangle 164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08" name="Rectangle 164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09" name="Rectangle 164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10" name="Rectangle 165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11" name="Rectangle 165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12" name="Rectangle 165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13" name="Rectangle 165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14" name="Rectangle 165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15" name="Rectangle 165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16" name="Rectangle 165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17" name="Rectangle 165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18" name="Rectangle 165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19" name="Rectangle 165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20" name="Rectangle 166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21" name="Rectangle 166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22" name="Rectangle 166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23" name="Rectangle 166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24" name="Rectangle 166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25" name="Rectangle 166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26" name="Rectangle 166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27" name="Rectangle 166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28" name="Rectangle 166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29" name="Rectangle 166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30" name="Rectangle 167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31" name="Rectangle 167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32" name="Rectangle 167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33" name="Rectangle 167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34" name="Rectangle 167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35" name="Rectangle 167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36" name="Rectangle 167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37" name="Rectangle 167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38" name="Rectangle 167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39" name="Rectangle 167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40" name="Rectangle 168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41" name="Rectangle 168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42" name="Rectangle 168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43" name="Rectangle 168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44" name="Rectangle 168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45" name="Rectangle 168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46" name="Rectangle 168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47" name="Rectangle 168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48" name="Rectangle 168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49" name="Rectangle 168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50" name="Rectangle 169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51" name="Rectangle 169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52" name="Rectangle 169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53" name="Rectangle 169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54" name="Rectangle 169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55" name="Rectangle 169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56" name="Rectangle 169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57" name="Rectangle 169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58" name="Rectangle 169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59" name="Rectangle 169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60" name="Rectangle 170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61" name="Rectangle 170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62" name="Rectangle 170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63" name="Rectangle 170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64" name="Rectangle 170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65" name="Rectangle 170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66" name="Rectangle 171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67" name="Rectangle 171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68" name="Rectangle 171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69" name="Rectangle 171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70" name="Rectangle 171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71" name="Rectangle 171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72" name="Rectangle 171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73" name="Rectangle 171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74" name="Rectangle 171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75" name="Rectangle 171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76" name="Rectangle 172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77" name="Rectangle 172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78" name="Rectangle 172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79" name="Rectangle 172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80" name="Rectangle 172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81" name="Rectangle 172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82" name="Rectangle 172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83" name="Rectangle 172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84" name="Rectangle 172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85" name="Rectangle 172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86" name="Rectangle 173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87" name="Rectangle 173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88" name="Rectangle 173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89" name="Rectangle 173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90" name="Rectangle 173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91" name="Rectangle 173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92" name="Rectangle 173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93" name="Rectangle 173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94" name="Rectangle 173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95" name="Rectangle 173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96" name="Rectangle 1740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97" name="Rectangle 1741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98" name="Rectangle 1742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899" name="Rectangle 1743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900" name="Rectangle 1744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901" name="Rectangle 1745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902" name="Rectangle 1746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903" name="Rectangle 1747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904" name="Rectangle 1748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25</xdr:row>
      <xdr:rowOff>485775</xdr:rowOff>
    </xdr:from>
    <xdr:to>
      <xdr:col>18</xdr:col>
      <xdr:colOff>0</xdr:colOff>
      <xdr:row>25</xdr:row>
      <xdr:rowOff>485775</xdr:rowOff>
    </xdr:to>
    <xdr:sp macro="" textlink="">
      <xdr:nvSpPr>
        <xdr:cNvPr id="905" name="Rectangle 1749"/>
        <xdr:cNvSpPr>
          <a:spLocks noChangeArrowheads="1"/>
        </xdr:cNvSpPr>
      </xdr:nvSpPr>
      <xdr:spPr bwMode="auto">
        <a:xfrm>
          <a:off x="25841325" y="5467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0</xdr:colOff>
      <xdr:row>52</xdr:row>
      <xdr:rowOff>0</xdr:rowOff>
    </xdr:from>
    <xdr:to>
      <xdr:col>19</xdr:col>
      <xdr:colOff>0</xdr:colOff>
      <xdr:row>52</xdr:row>
      <xdr:rowOff>0</xdr:rowOff>
    </xdr:to>
    <xdr:sp macro="" textlink="">
      <xdr:nvSpPr>
        <xdr:cNvPr id="906" name="Line 18"/>
        <xdr:cNvSpPr>
          <a:spLocks noChangeShapeType="1"/>
        </xdr:cNvSpPr>
      </xdr:nvSpPr>
      <xdr:spPr bwMode="auto">
        <a:xfrm>
          <a:off x="26898600" y="10420350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52</xdr:row>
      <xdr:rowOff>0</xdr:rowOff>
    </xdr:from>
    <xdr:to>
      <xdr:col>19</xdr:col>
      <xdr:colOff>0</xdr:colOff>
      <xdr:row>52</xdr:row>
      <xdr:rowOff>0</xdr:rowOff>
    </xdr:to>
    <xdr:sp macro="" textlink="">
      <xdr:nvSpPr>
        <xdr:cNvPr id="907" name="Line 28"/>
        <xdr:cNvSpPr>
          <a:spLocks noChangeShapeType="1"/>
        </xdr:cNvSpPr>
      </xdr:nvSpPr>
      <xdr:spPr bwMode="auto">
        <a:xfrm>
          <a:off x="26898600" y="10420350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52</xdr:row>
      <xdr:rowOff>0</xdr:rowOff>
    </xdr:from>
    <xdr:to>
      <xdr:col>19</xdr:col>
      <xdr:colOff>0</xdr:colOff>
      <xdr:row>52</xdr:row>
      <xdr:rowOff>0</xdr:rowOff>
    </xdr:to>
    <xdr:sp macro="" textlink="">
      <xdr:nvSpPr>
        <xdr:cNvPr id="908" name="Line 46"/>
        <xdr:cNvSpPr>
          <a:spLocks noChangeShapeType="1"/>
        </xdr:cNvSpPr>
      </xdr:nvSpPr>
      <xdr:spPr bwMode="auto">
        <a:xfrm>
          <a:off x="26898600" y="10420350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52</xdr:row>
      <xdr:rowOff>0</xdr:rowOff>
    </xdr:from>
    <xdr:to>
      <xdr:col>19</xdr:col>
      <xdr:colOff>0</xdr:colOff>
      <xdr:row>52</xdr:row>
      <xdr:rowOff>0</xdr:rowOff>
    </xdr:to>
    <xdr:sp macro="" textlink="">
      <xdr:nvSpPr>
        <xdr:cNvPr id="909" name="Line 47"/>
        <xdr:cNvSpPr>
          <a:spLocks noChangeShapeType="1"/>
        </xdr:cNvSpPr>
      </xdr:nvSpPr>
      <xdr:spPr bwMode="auto">
        <a:xfrm>
          <a:off x="26898600" y="10420350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52</xdr:row>
      <xdr:rowOff>0</xdr:rowOff>
    </xdr:from>
    <xdr:to>
      <xdr:col>19</xdr:col>
      <xdr:colOff>0</xdr:colOff>
      <xdr:row>52</xdr:row>
      <xdr:rowOff>0</xdr:rowOff>
    </xdr:to>
    <xdr:sp macro="" textlink="">
      <xdr:nvSpPr>
        <xdr:cNvPr id="910" name="Line 48"/>
        <xdr:cNvSpPr>
          <a:spLocks noChangeShapeType="1"/>
        </xdr:cNvSpPr>
      </xdr:nvSpPr>
      <xdr:spPr bwMode="auto">
        <a:xfrm>
          <a:off x="26898600" y="10420350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52</xdr:row>
      <xdr:rowOff>0</xdr:rowOff>
    </xdr:from>
    <xdr:to>
      <xdr:col>19</xdr:col>
      <xdr:colOff>0</xdr:colOff>
      <xdr:row>52</xdr:row>
      <xdr:rowOff>0</xdr:rowOff>
    </xdr:to>
    <xdr:sp macro="" textlink="">
      <xdr:nvSpPr>
        <xdr:cNvPr id="911" name="Line 49"/>
        <xdr:cNvSpPr>
          <a:spLocks noChangeShapeType="1"/>
        </xdr:cNvSpPr>
      </xdr:nvSpPr>
      <xdr:spPr bwMode="auto">
        <a:xfrm>
          <a:off x="26898600" y="10420350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41</xdr:row>
      <xdr:rowOff>0</xdr:rowOff>
    </xdr:from>
    <xdr:to>
      <xdr:col>19</xdr:col>
      <xdr:colOff>0</xdr:colOff>
      <xdr:row>41</xdr:row>
      <xdr:rowOff>0</xdr:rowOff>
    </xdr:to>
    <xdr:sp macro="" textlink="">
      <xdr:nvSpPr>
        <xdr:cNvPr id="912" name="Line 18"/>
        <xdr:cNvSpPr>
          <a:spLocks noChangeShapeType="1"/>
        </xdr:cNvSpPr>
      </xdr:nvSpPr>
      <xdr:spPr bwMode="auto">
        <a:xfrm>
          <a:off x="26898600" y="8324850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41</xdr:row>
      <xdr:rowOff>0</xdr:rowOff>
    </xdr:from>
    <xdr:to>
      <xdr:col>19</xdr:col>
      <xdr:colOff>0</xdr:colOff>
      <xdr:row>41</xdr:row>
      <xdr:rowOff>0</xdr:rowOff>
    </xdr:to>
    <xdr:sp macro="" textlink="">
      <xdr:nvSpPr>
        <xdr:cNvPr id="913" name="Line 28"/>
        <xdr:cNvSpPr>
          <a:spLocks noChangeShapeType="1"/>
        </xdr:cNvSpPr>
      </xdr:nvSpPr>
      <xdr:spPr bwMode="auto">
        <a:xfrm>
          <a:off x="26898600" y="8324850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41</xdr:row>
      <xdr:rowOff>0</xdr:rowOff>
    </xdr:from>
    <xdr:to>
      <xdr:col>19</xdr:col>
      <xdr:colOff>0</xdr:colOff>
      <xdr:row>41</xdr:row>
      <xdr:rowOff>0</xdr:rowOff>
    </xdr:to>
    <xdr:sp macro="" textlink="">
      <xdr:nvSpPr>
        <xdr:cNvPr id="914" name="Line 46"/>
        <xdr:cNvSpPr>
          <a:spLocks noChangeShapeType="1"/>
        </xdr:cNvSpPr>
      </xdr:nvSpPr>
      <xdr:spPr bwMode="auto">
        <a:xfrm>
          <a:off x="26898600" y="8324850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41</xdr:row>
      <xdr:rowOff>0</xdr:rowOff>
    </xdr:from>
    <xdr:to>
      <xdr:col>19</xdr:col>
      <xdr:colOff>0</xdr:colOff>
      <xdr:row>41</xdr:row>
      <xdr:rowOff>0</xdr:rowOff>
    </xdr:to>
    <xdr:sp macro="" textlink="">
      <xdr:nvSpPr>
        <xdr:cNvPr id="915" name="Line 47"/>
        <xdr:cNvSpPr>
          <a:spLocks noChangeShapeType="1"/>
        </xdr:cNvSpPr>
      </xdr:nvSpPr>
      <xdr:spPr bwMode="auto">
        <a:xfrm>
          <a:off x="26898600" y="8324850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41</xdr:row>
      <xdr:rowOff>0</xdr:rowOff>
    </xdr:from>
    <xdr:to>
      <xdr:col>19</xdr:col>
      <xdr:colOff>0</xdr:colOff>
      <xdr:row>41</xdr:row>
      <xdr:rowOff>0</xdr:rowOff>
    </xdr:to>
    <xdr:sp macro="" textlink="">
      <xdr:nvSpPr>
        <xdr:cNvPr id="916" name="Line 48"/>
        <xdr:cNvSpPr>
          <a:spLocks noChangeShapeType="1"/>
        </xdr:cNvSpPr>
      </xdr:nvSpPr>
      <xdr:spPr bwMode="auto">
        <a:xfrm>
          <a:off x="26898600" y="8324850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41</xdr:row>
      <xdr:rowOff>0</xdr:rowOff>
    </xdr:from>
    <xdr:to>
      <xdr:col>19</xdr:col>
      <xdr:colOff>0</xdr:colOff>
      <xdr:row>41</xdr:row>
      <xdr:rowOff>0</xdr:rowOff>
    </xdr:to>
    <xdr:sp macro="" textlink="">
      <xdr:nvSpPr>
        <xdr:cNvPr id="917" name="Line 49"/>
        <xdr:cNvSpPr>
          <a:spLocks noChangeShapeType="1"/>
        </xdr:cNvSpPr>
      </xdr:nvSpPr>
      <xdr:spPr bwMode="auto">
        <a:xfrm>
          <a:off x="26898600" y="8324850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42</xdr:row>
      <xdr:rowOff>0</xdr:rowOff>
    </xdr:from>
    <xdr:to>
      <xdr:col>19</xdr:col>
      <xdr:colOff>0</xdr:colOff>
      <xdr:row>42</xdr:row>
      <xdr:rowOff>0</xdr:rowOff>
    </xdr:to>
    <xdr:sp macro="" textlink="">
      <xdr:nvSpPr>
        <xdr:cNvPr id="918" name="Line 18"/>
        <xdr:cNvSpPr>
          <a:spLocks noChangeShapeType="1"/>
        </xdr:cNvSpPr>
      </xdr:nvSpPr>
      <xdr:spPr bwMode="auto">
        <a:xfrm>
          <a:off x="26898600" y="8515350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42</xdr:row>
      <xdr:rowOff>0</xdr:rowOff>
    </xdr:from>
    <xdr:to>
      <xdr:col>19</xdr:col>
      <xdr:colOff>0</xdr:colOff>
      <xdr:row>42</xdr:row>
      <xdr:rowOff>0</xdr:rowOff>
    </xdr:to>
    <xdr:sp macro="" textlink="">
      <xdr:nvSpPr>
        <xdr:cNvPr id="919" name="Line 28"/>
        <xdr:cNvSpPr>
          <a:spLocks noChangeShapeType="1"/>
        </xdr:cNvSpPr>
      </xdr:nvSpPr>
      <xdr:spPr bwMode="auto">
        <a:xfrm>
          <a:off x="26898600" y="8515350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42</xdr:row>
      <xdr:rowOff>0</xdr:rowOff>
    </xdr:from>
    <xdr:to>
      <xdr:col>19</xdr:col>
      <xdr:colOff>0</xdr:colOff>
      <xdr:row>42</xdr:row>
      <xdr:rowOff>0</xdr:rowOff>
    </xdr:to>
    <xdr:sp macro="" textlink="">
      <xdr:nvSpPr>
        <xdr:cNvPr id="920" name="Line 46"/>
        <xdr:cNvSpPr>
          <a:spLocks noChangeShapeType="1"/>
        </xdr:cNvSpPr>
      </xdr:nvSpPr>
      <xdr:spPr bwMode="auto">
        <a:xfrm>
          <a:off x="26898600" y="8515350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42</xdr:row>
      <xdr:rowOff>0</xdr:rowOff>
    </xdr:from>
    <xdr:to>
      <xdr:col>19</xdr:col>
      <xdr:colOff>0</xdr:colOff>
      <xdr:row>42</xdr:row>
      <xdr:rowOff>0</xdr:rowOff>
    </xdr:to>
    <xdr:sp macro="" textlink="">
      <xdr:nvSpPr>
        <xdr:cNvPr id="921" name="Line 47"/>
        <xdr:cNvSpPr>
          <a:spLocks noChangeShapeType="1"/>
        </xdr:cNvSpPr>
      </xdr:nvSpPr>
      <xdr:spPr bwMode="auto">
        <a:xfrm>
          <a:off x="26898600" y="8515350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42</xdr:row>
      <xdr:rowOff>0</xdr:rowOff>
    </xdr:from>
    <xdr:to>
      <xdr:col>19</xdr:col>
      <xdr:colOff>0</xdr:colOff>
      <xdr:row>42</xdr:row>
      <xdr:rowOff>0</xdr:rowOff>
    </xdr:to>
    <xdr:sp macro="" textlink="">
      <xdr:nvSpPr>
        <xdr:cNvPr id="922" name="Line 48"/>
        <xdr:cNvSpPr>
          <a:spLocks noChangeShapeType="1"/>
        </xdr:cNvSpPr>
      </xdr:nvSpPr>
      <xdr:spPr bwMode="auto">
        <a:xfrm>
          <a:off x="26898600" y="8515350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42</xdr:row>
      <xdr:rowOff>0</xdr:rowOff>
    </xdr:from>
    <xdr:to>
      <xdr:col>19</xdr:col>
      <xdr:colOff>0</xdr:colOff>
      <xdr:row>42</xdr:row>
      <xdr:rowOff>0</xdr:rowOff>
    </xdr:to>
    <xdr:sp macro="" textlink="">
      <xdr:nvSpPr>
        <xdr:cNvPr id="923" name="Line 49"/>
        <xdr:cNvSpPr>
          <a:spLocks noChangeShapeType="1"/>
        </xdr:cNvSpPr>
      </xdr:nvSpPr>
      <xdr:spPr bwMode="auto">
        <a:xfrm>
          <a:off x="26898600" y="8515350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85725</xdr:rowOff>
        </xdr:from>
        <xdr:to>
          <xdr:col>5</xdr:col>
          <xdr:colOff>323850</xdr:colOff>
          <xdr:row>3</xdr:row>
          <xdr:rowOff>142875</xdr:rowOff>
        </xdr:to>
        <xdr:sp macro="" textlink="">
          <xdr:nvSpPr>
            <xdr:cNvPr id="67587" name="Button 157" hidden="1">
              <a:extLst>
                <a:ext uri="{63B3BB69-23CF-44E3-9099-C40C66FF867C}">
                  <a14:compatExt spid="_x0000_s67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53</xdr:row>
      <xdr:rowOff>0</xdr:rowOff>
    </xdr:from>
    <xdr:to>
      <xdr:col>18</xdr:col>
      <xdr:colOff>0</xdr:colOff>
      <xdr:row>53</xdr:row>
      <xdr:rowOff>0</xdr:rowOff>
    </xdr:to>
    <xdr:sp macro="" textlink="">
      <xdr:nvSpPr>
        <xdr:cNvPr id="2" name="Line 18"/>
        <xdr:cNvSpPr>
          <a:spLocks noChangeShapeType="1"/>
        </xdr:cNvSpPr>
      </xdr:nvSpPr>
      <xdr:spPr bwMode="auto">
        <a:xfrm>
          <a:off x="15687675" y="4333875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53</xdr:row>
      <xdr:rowOff>0</xdr:rowOff>
    </xdr:from>
    <xdr:to>
      <xdr:col>18</xdr:col>
      <xdr:colOff>0</xdr:colOff>
      <xdr:row>53</xdr:row>
      <xdr:rowOff>0</xdr:rowOff>
    </xdr:to>
    <xdr:sp macro="" textlink="">
      <xdr:nvSpPr>
        <xdr:cNvPr id="3" name="Line 28"/>
        <xdr:cNvSpPr>
          <a:spLocks noChangeShapeType="1"/>
        </xdr:cNvSpPr>
      </xdr:nvSpPr>
      <xdr:spPr bwMode="auto">
        <a:xfrm>
          <a:off x="15687675" y="4333875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53</xdr:row>
      <xdr:rowOff>0</xdr:rowOff>
    </xdr:from>
    <xdr:to>
      <xdr:col>18</xdr:col>
      <xdr:colOff>0</xdr:colOff>
      <xdr:row>53</xdr:row>
      <xdr:rowOff>0</xdr:rowOff>
    </xdr:to>
    <xdr:sp macro="" textlink="">
      <xdr:nvSpPr>
        <xdr:cNvPr id="4" name="Line 46"/>
        <xdr:cNvSpPr>
          <a:spLocks noChangeShapeType="1"/>
        </xdr:cNvSpPr>
      </xdr:nvSpPr>
      <xdr:spPr bwMode="auto">
        <a:xfrm>
          <a:off x="15687675" y="4333875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53</xdr:row>
      <xdr:rowOff>0</xdr:rowOff>
    </xdr:from>
    <xdr:to>
      <xdr:col>18</xdr:col>
      <xdr:colOff>0</xdr:colOff>
      <xdr:row>53</xdr:row>
      <xdr:rowOff>0</xdr:rowOff>
    </xdr:to>
    <xdr:sp macro="" textlink="">
      <xdr:nvSpPr>
        <xdr:cNvPr id="5" name="Line 47"/>
        <xdr:cNvSpPr>
          <a:spLocks noChangeShapeType="1"/>
        </xdr:cNvSpPr>
      </xdr:nvSpPr>
      <xdr:spPr bwMode="auto">
        <a:xfrm>
          <a:off x="15687675" y="4333875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53</xdr:row>
      <xdr:rowOff>0</xdr:rowOff>
    </xdr:from>
    <xdr:to>
      <xdr:col>18</xdr:col>
      <xdr:colOff>0</xdr:colOff>
      <xdr:row>53</xdr:row>
      <xdr:rowOff>0</xdr:rowOff>
    </xdr:to>
    <xdr:sp macro="" textlink="">
      <xdr:nvSpPr>
        <xdr:cNvPr id="6" name="Line 48"/>
        <xdr:cNvSpPr>
          <a:spLocks noChangeShapeType="1"/>
        </xdr:cNvSpPr>
      </xdr:nvSpPr>
      <xdr:spPr bwMode="auto">
        <a:xfrm>
          <a:off x="15687675" y="4333875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53</xdr:row>
      <xdr:rowOff>0</xdr:rowOff>
    </xdr:from>
    <xdr:to>
      <xdr:col>18</xdr:col>
      <xdr:colOff>0</xdr:colOff>
      <xdr:row>53</xdr:row>
      <xdr:rowOff>0</xdr:rowOff>
    </xdr:to>
    <xdr:sp macro="" textlink="">
      <xdr:nvSpPr>
        <xdr:cNvPr id="7" name="Line 49"/>
        <xdr:cNvSpPr>
          <a:spLocks noChangeShapeType="1"/>
        </xdr:cNvSpPr>
      </xdr:nvSpPr>
      <xdr:spPr bwMode="auto">
        <a:xfrm>
          <a:off x="15687675" y="4333875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2" name="Rectangle 13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3" name="Rectangle 13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" name="Rectangle 13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" name="Rectangle 13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" name="Rectangle 13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7" name="Rectangle 13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8" name="Rectangle 14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9" name="Rectangle 14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2" name="Rectangle 17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3" name="Rectangle 17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4" name="Rectangle 17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5" name="Rectangle 17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88" name="Rectangle 21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89" name="Rectangle 21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0" name="Rectangle 21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1" name="Rectangle 21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2" name="Rectangle 21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3" name="Rectangle 21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4" name="Rectangle 21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5" name="Rectangle 21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0" name="Rectangle 22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1" name="Rectangle 22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2" name="Rectangle 22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3" name="Rectangle 22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4" name="Rectangle 22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5" name="Rectangle 22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6" name="Rectangle 22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7" name="Rectangle 22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8" name="Rectangle 23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9" name="Rectangle 23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0" name="Rectangle 23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1" name="Rectangle 23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2" name="Rectangle 23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3" name="Rectangle 23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4" name="Rectangle 23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5" name="Rectangle 23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6" name="Rectangle 23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7" name="Rectangle 23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8" name="Rectangle 24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9" name="Rectangle 24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20" name="Rectangle 24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21" name="Rectangle 24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22" name="Rectangle 24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23" name="Rectangle 24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24" name="Rectangle 24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25" name="Rectangle 24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26" name="Rectangle 24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27" name="Rectangle 24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28" name="Rectangle 25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29" name="Rectangle 25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30" name="Rectangle 25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31" name="Rectangle 25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32" name="Rectangle 25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33" name="Rectangle 25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34" name="Rectangle 25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35" name="Rectangle 25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36" name="Rectangle 25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37" name="Rectangle 25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38" name="Rectangle 26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39" name="Rectangle 26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0" name="Rectangle 26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1" name="Rectangle 26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2" name="Rectangle 26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3" name="Rectangle 26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4" name="Rectangle 26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5" name="Rectangle 26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6" name="Rectangle 26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7" name="Rectangle 26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8" name="Rectangle 27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9" name="Rectangle 27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0" name="Rectangle 27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1" name="Rectangle 27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2" name="Rectangle 27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3" name="Rectangle 27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4" name="Rectangle 27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5" name="Rectangle 27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6" name="Rectangle 27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7" name="Rectangle 27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8" name="Rectangle 28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9" name="Rectangle 28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0" name="Rectangle 28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1" name="Rectangle 28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2" name="Rectangle 28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3" name="Rectangle 28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4" name="Rectangle 28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5" name="Rectangle 28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6" name="Rectangle 28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7" name="Rectangle 28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8" name="Rectangle 29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9" name="Rectangle 29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70" name="Rectangle 29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71" name="Rectangle 29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72" name="Rectangle 29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73" name="Rectangle 29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74" name="Rectangle 29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75" name="Rectangle 29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76" name="Rectangle 29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77" name="Rectangle 29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78" name="Rectangle 30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79" name="Rectangle 30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80" name="Rectangle 30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81" name="Rectangle 30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82" name="Rectangle 30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83" name="Rectangle 30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84" name="Rectangle 30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85" name="Rectangle 30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86" name="Rectangle 30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87" name="Rectangle 30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88" name="Rectangle 31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89" name="Rectangle 31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90" name="Rectangle 31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91" name="Rectangle 31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92" name="Rectangle 31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93" name="Rectangle 31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94" name="Rectangle 31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95" name="Rectangle 31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96" name="Rectangle 31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97" name="Rectangle 31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98" name="Rectangle 32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99" name="Rectangle 32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00" name="Rectangle 32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01" name="Rectangle 32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02" name="Rectangle 32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03" name="Rectangle 32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04" name="Rectangle 32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05" name="Rectangle 32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06" name="Rectangle 32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07" name="Rectangle 32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08" name="Rectangle 33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09" name="Rectangle 33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10" name="Rectangle 33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11" name="Rectangle 33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12" name="Rectangle 33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13" name="Rectangle 33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14" name="Rectangle 33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15" name="Rectangle 33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16" name="Rectangle 33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17" name="Rectangle 33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18" name="Rectangle 34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19" name="Rectangle 34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20" name="Rectangle 34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21" name="Rectangle 34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22" name="Rectangle 34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23" name="Rectangle 34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24" name="Rectangle 34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25" name="Rectangle 34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26" name="Rectangle 34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27" name="Rectangle 34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28" name="Rectangle 35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29" name="Rectangle 35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30" name="Rectangle 35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31" name="Rectangle 35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32" name="Rectangle 35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33" name="Rectangle 35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34" name="Rectangle 35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35" name="Rectangle 35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36" name="Rectangle 35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37" name="Rectangle 35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38" name="Rectangle 36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39" name="Rectangle 36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40" name="Rectangle 36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41" name="Rectangle 36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42" name="Rectangle 36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43" name="Rectangle 36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44" name="Rectangle 36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45" name="Rectangle 36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46" name="Rectangle 36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47" name="Rectangle 36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48" name="Rectangle 37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49" name="Rectangle 37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50" name="Rectangle 37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51" name="Rectangle 37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52" name="Rectangle 37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53" name="Rectangle 37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54" name="Rectangle 37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55" name="Rectangle 37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56" name="Rectangle 37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57" name="Rectangle 37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58" name="Rectangle 38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59" name="Rectangle 38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60" name="Rectangle 38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61" name="Rectangle 38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62" name="Rectangle 38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63" name="Rectangle 38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68" name="Rectangle 39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69" name="Rectangle 39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70" name="Rectangle 39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71" name="Rectangle 39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72" name="Rectangle 39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73" name="Rectangle 39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74" name="Rectangle 39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75" name="Rectangle 39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76" name="Rectangle 39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77" name="Rectangle 39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78" name="Rectangle 40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79" name="Rectangle 40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80" name="Rectangle 40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81" name="Rectangle 40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82" name="Rectangle 40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83" name="Rectangle 40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84" name="Rectangle 40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85" name="Rectangle 40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86" name="Rectangle 40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87" name="Rectangle 40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88" name="Rectangle 41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89" name="Rectangle 41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90" name="Rectangle 41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91" name="Rectangle 41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92" name="Rectangle 41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93" name="Rectangle 41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94" name="Rectangle 41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95" name="Rectangle 41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96" name="Rectangle 41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97" name="Rectangle 41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98" name="Rectangle 42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299" name="Rectangle 42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300" name="Rectangle 42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301" name="Rectangle 42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302" name="Rectangle 42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303" name="Rectangle 42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304" name="Rectangle 42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305" name="Rectangle 42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306" name="Rectangle 42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307" name="Rectangle 42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452" name="Rectangle 57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453" name="Rectangle 57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454" name="Rectangle 57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455" name="Rectangle 57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456" name="Rectangle 57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457" name="Rectangle 57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458" name="Rectangle 58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459" name="Rectangle 58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492" name="Rectangle 61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493" name="Rectangle 61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494" name="Rectangle 61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495" name="Rectangle 61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28" name="Rectangle 65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29" name="Rectangle 65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30" name="Rectangle 65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31" name="Rectangle 65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32" name="Rectangle 65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33" name="Rectangle 65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34" name="Rectangle 65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35" name="Rectangle 65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40" name="Rectangle 66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41" name="Rectangle 66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42" name="Rectangle 66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43" name="Rectangle 66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44" name="Rectangle 66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45" name="Rectangle 66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46" name="Rectangle 66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47" name="Rectangle 66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48" name="Rectangle 67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49" name="Rectangle 67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50" name="Rectangle 67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51" name="Rectangle 67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52" name="Rectangle 67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53" name="Rectangle 67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54" name="Rectangle 67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55" name="Rectangle 67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56" name="Rectangle 67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57" name="Rectangle 67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58" name="Rectangle 68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59" name="Rectangle 68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60" name="Rectangle 68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61" name="Rectangle 68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62" name="Rectangle 68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63" name="Rectangle 68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64" name="Rectangle 68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65" name="Rectangle 68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66" name="Rectangle 68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67" name="Rectangle 68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68" name="Rectangle 69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69" name="Rectangle 69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70" name="Rectangle 69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71" name="Rectangle 69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72" name="Rectangle 69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73" name="Rectangle 69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74" name="Rectangle 69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75" name="Rectangle 69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76" name="Rectangle 69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77" name="Rectangle 69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78" name="Rectangle 70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79" name="Rectangle 70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80" name="Rectangle 70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81" name="Rectangle 70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82" name="Rectangle 70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83" name="Rectangle 70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84" name="Rectangle 70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85" name="Rectangle 70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86" name="Rectangle 70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87" name="Rectangle 70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88" name="Rectangle 71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89" name="Rectangle 71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90" name="Rectangle 71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91" name="Rectangle 71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92" name="Rectangle 71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93" name="Rectangle 71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94" name="Rectangle 71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95" name="Rectangle 71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96" name="Rectangle 71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97" name="Rectangle 71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98" name="Rectangle 72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599" name="Rectangle 72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00" name="Rectangle 72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01" name="Rectangle 72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02" name="Rectangle 72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03" name="Rectangle 72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04" name="Rectangle 72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05" name="Rectangle 72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06" name="Rectangle 72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07" name="Rectangle 72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08" name="Rectangle 73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09" name="Rectangle 73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10" name="Rectangle 73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11" name="Rectangle 73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12" name="Rectangle 73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13" name="Rectangle 73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14" name="Rectangle 73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15" name="Rectangle 73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16" name="Rectangle 73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17" name="Rectangle 73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18" name="Rectangle 74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19" name="Rectangle 74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20" name="Rectangle 74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21" name="Rectangle 74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22" name="Rectangle 74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23" name="Rectangle 74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24" name="Rectangle 74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25" name="Rectangle 74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26" name="Rectangle 74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27" name="Rectangle 74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28" name="Rectangle 75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29" name="Rectangle 75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30" name="Rectangle 75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31" name="Rectangle 75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32" name="Rectangle 75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33" name="Rectangle 75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34" name="Rectangle 75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35" name="Rectangle 75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36" name="Rectangle 75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37" name="Rectangle 75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38" name="Rectangle 76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39" name="Rectangle 76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40" name="Rectangle 76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41" name="Rectangle 76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42" name="Rectangle 76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43" name="Rectangle 76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44" name="Rectangle 76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45" name="Rectangle 76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46" name="Rectangle 76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47" name="Rectangle 76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48" name="Rectangle 77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49" name="Rectangle 77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50" name="Rectangle 77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51" name="Rectangle 77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52" name="Rectangle 77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53" name="Rectangle 77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54" name="Rectangle 77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55" name="Rectangle 77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56" name="Rectangle 77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57" name="Rectangle 77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58" name="Rectangle 78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59" name="Rectangle 78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60" name="Rectangle 78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61" name="Rectangle 78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62" name="Rectangle 78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63" name="Rectangle 78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64" name="Rectangle 78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65" name="Rectangle 78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66" name="Rectangle 78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67" name="Rectangle 78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68" name="Rectangle 79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69" name="Rectangle 79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70" name="Rectangle 79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71" name="Rectangle 79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72" name="Rectangle 79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73" name="Rectangle 79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74" name="Rectangle 79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75" name="Rectangle 79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76" name="Rectangle 79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77" name="Rectangle 79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78" name="Rectangle 80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79" name="Rectangle 80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80" name="Rectangle 80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81" name="Rectangle 80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82" name="Rectangle 80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83" name="Rectangle 80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84" name="Rectangle 80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85" name="Rectangle 80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86" name="Rectangle 80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87" name="Rectangle 80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88" name="Rectangle 81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89" name="Rectangle 81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90" name="Rectangle 81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91" name="Rectangle 81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92" name="Rectangle 81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93" name="Rectangle 81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94" name="Rectangle 81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95" name="Rectangle 81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96" name="Rectangle 81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97" name="Rectangle 81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98" name="Rectangle 82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699" name="Rectangle 82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00" name="Rectangle 82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01" name="Rectangle 82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02" name="Rectangle 82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03" name="Rectangle 82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08" name="Rectangle 83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09" name="Rectangle 83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10" name="Rectangle 83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11" name="Rectangle 83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12" name="Rectangle 83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13" name="Rectangle 83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14" name="Rectangle 83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15" name="Rectangle 83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16" name="Rectangle 83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17" name="Rectangle 83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18" name="Rectangle 84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19" name="Rectangle 84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20" name="Rectangle 84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21" name="Rectangle 84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22" name="Rectangle 84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23" name="Rectangle 84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24" name="Rectangle 84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25" name="Rectangle 84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26" name="Rectangle 84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27" name="Rectangle 84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28" name="Rectangle 85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29" name="Rectangle 85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30" name="Rectangle 85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31" name="Rectangle 85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32" name="Rectangle 85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33" name="Rectangle 85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34" name="Rectangle 85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35" name="Rectangle 85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36" name="Rectangle 85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37" name="Rectangle 85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38" name="Rectangle 86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39" name="Rectangle 86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40" name="Rectangle 86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41" name="Rectangle 86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42" name="Rectangle 86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43" name="Rectangle 86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44" name="Rectangle 86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45" name="Rectangle 86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46" name="Rectangle 86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747" name="Rectangle 86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892" name="Rectangle 101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893" name="Rectangle 101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894" name="Rectangle 101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895" name="Rectangle 101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896" name="Rectangle 101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897" name="Rectangle 101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898" name="Rectangle 102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899" name="Rectangle 102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32" name="Rectangle 105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33" name="Rectangle 105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34" name="Rectangle 105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35" name="Rectangle 105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68" name="Rectangle 109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69" name="Rectangle 109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70" name="Rectangle 109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71" name="Rectangle 109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72" name="Rectangle 109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73" name="Rectangle 109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74" name="Rectangle 109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75" name="Rectangle 109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80" name="Rectangle 110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81" name="Rectangle 110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82" name="Rectangle 110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83" name="Rectangle 110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84" name="Rectangle 110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85" name="Rectangle 110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86" name="Rectangle 110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87" name="Rectangle 110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88" name="Rectangle 111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89" name="Rectangle 111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90" name="Rectangle 111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91" name="Rectangle 111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92" name="Rectangle 111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93" name="Rectangle 111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94" name="Rectangle 111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95" name="Rectangle 111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96" name="Rectangle 111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97" name="Rectangle 111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98" name="Rectangle 112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999" name="Rectangle 112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00" name="Rectangle 112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01" name="Rectangle 112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02" name="Rectangle 112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03" name="Rectangle 112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04" name="Rectangle 112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05" name="Rectangle 112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06" name="Rectangle 112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07" name="Rectangle 112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08" name="Rectangle 113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09" name="Rectangle 113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10" name="Rectangle 113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11" name="Rectangle 113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12" name="Rectangle 113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13" name="Rectangle 113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14" name="Rectangle 113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15" name="Rectangle 113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16" name="Rectangle 113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17" name="Rectangle 113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18" name="Rectangle 114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19" name="Rectangle 114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20" name="Rectangle 114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21" name="Rectangle 114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22" name="Rectangle 114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23" name="Rectangle 114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24" name="Rectangle 114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25" name="Rectangle 114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26" name="Rectangle 114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27" name="Rectangle 114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28" name="Rectangle 115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29" name="Rectangle 115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30" name="Rectangle 115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31" name="Rectangle 115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32" name="Rectangle 115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33" name="Rectangle 115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34" name="Rectangle 115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35" name="Rectangle 115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36" name="Rectangle 115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37" name="Rectangle 115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38" name="Rectangle 116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39" name="Rectangle 116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40" name="Rectangle 116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41" name="Rectangle 116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42" name="Rectangle 116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43" name="Rectangle 116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44" name="Rectangle 116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45" name="Rectangle 116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46" name="Rectangle 116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47" name="Rectangle 116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48" name="Rectangle 117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49" name="Rectangle 117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50" name="Rectangle 117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51" name="Rectangle 117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52" name="Rectangle 117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53" name="Rectangle 117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54" name="Rectangle 117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55" name="Rectangle 117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56" name="Rectangle 117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57" name="Rectangle 117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58" name="Rectangle 118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59" name="Rectangle 118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60" name="Rectangle 118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61" name="Rectangle 118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62" name="Rectangle 118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63" name="Rectangle 118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64" name="Rectangle 118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65" name="Rectangle 118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66" name="Rectangle 118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67" name="Rectangle 118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68" name="Rectangle 119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69" name="Rectangle 119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70" name="Rectangle 119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71" name="Rectangle 119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72" name="Rectangle 119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73" name="Rectangle 119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74" name="Rectangle 119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75" name="Rectangle 119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76" name="Rectangle 119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77" name="Rectangle 119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78" name="Rectangle 120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79" name="Rectangle 120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80" name="Rectangle 120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81" name="Rectangle 120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82" name="Rectangle 120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83" name="Rectangle 120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84" name="Rectangle 120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85" name="Rectangle 120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86" name="Rectangle 120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87" name="Rectangle 120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88" name="Rectangle 121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89" name="Rectangle 121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90" name="Rectangle 121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91" name="Rectangle 121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92" name="Rectangle 121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93" name="Rectangle 121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94" name="Rectangle 121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95" name="Rectangle 121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96" name="Rectangle 121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97" name="Rectangle 121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98" name="Rectangle 122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099" name="Rectangle 122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00" name="Rectangle 122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01" name="Rectangle 122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02" name="Rectangle 122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03" name="Rectangle 122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04" name="Rectangle 122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05" name="Rectangle 122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06" name="Rectangle 122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07" name="Rectangle 122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08" name="Rectangle 123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09" name="Rectangle 123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10" name="Rectangle 123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11" name="Rectangle 123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12" name="Rectangle 123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13" name="Rectangle 123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14" name="Rectangle 123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15" name="Rectangle 123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16" name="Rectangle 123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17" name="Rectangle 123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18" name="Rectangle 124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19" name="Rectangle 124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20" name="Rectangle 124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21" name="Rectangle 124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22" name="Rectangle 124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23" name="Rectangle 124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24" name="Rectangle 124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25" name="Rectangle 124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26" name="Rectangle 124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27" name="Rectangle 124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28" name="Rectangle 125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29" name="Rectangle 125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30" name="Rectangle 125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31" name="Rectangle 125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32" name="Rectangle 125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33" name="Rectangle 125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34" name="Rectangle 125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35" name="Rectangle 125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36" name="Rectangle 125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37" name="Rectangle 125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38" name="Rectangle 126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39" name="Rectangle 126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40" name="Rectangle 126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41" name="Rectangle 126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42" name="Rectangle 126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43" name="Rectangle 126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48" name="Rectangle 127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49" name="Rectangle 127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50" name="Rectangle 127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51" name="Rectangle 127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52" name="Rectangle 127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53" name="Rectangle 127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54" name="Rectangle 127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55" name="Rectangle 127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56" name="Rectangle 127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57" name="Rectangle 127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58" name="Rectangle 128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59" name="Rectangle 128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60" name="Rectangle 128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61" name="Rectangle 128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62" name="Rectangle 128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63" name="Rectangle 128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64" name="Rectangle 128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65" name="Rectangle 128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66" name="Rectangle 128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67" name="Rectangle 128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68" name="Rectangle 129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69" name="Rectangle 129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70" name="Rectangle 129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71" name="Rectangle 129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72" name="Rectangle 129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73" name="Rectangle 129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74" name="Rectangle 129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75" name="Rectangle 129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76" name="Rectangle 129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77" name="Rectangle 129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78" name="Rectangle 130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79" name="Rectangle 130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80" name="Rectangle 130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81" name="Rectangle 130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82" name="Rectangle 130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83" name="Rectangle 130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84" name="Rectangle 130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85" name="Rectangle 130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86" name="Rectangle 130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187" name="Rectangle 130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332" name="Rectangle 145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333" name="Rectangle 145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334" name="Rectangle 145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335" name="Rectangle 145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336" name="Rectangle 145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337" name="Rectangle 145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338" name="Rectangle 146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339" name="Rectangle 146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372" name="Rectangle 149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373" name="Rectangle 149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374" name="Rectangle 149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375" name="Rectangle 149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08" name="Rectangle 153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09" name="Rectangle 153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10" name="Rectangle 153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11" name="Rectangle 153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12" name="Rectangle 153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13" name="Rectangle 153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14" name="Rectangle 153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15" name="Rectangle 153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20" name="Rectangle 154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21" name="Rectangle 154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22" name="Rectangle 154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23" name="Rectangle 154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24" name="Rectangle 154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25" name="Rectangle 154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26" name="Rectangle 154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27" name="Rectangle 154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28" name="Rectangle 155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29" name="Rectangle 155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30" name="Rectangle 155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31" name="Rectangle 155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32" name="Rectangle 155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33" name="Rectangle 155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34" name="Rectangle 155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35" name="Rectangle 155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36" name="Rectangle 155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37" name="Rectangle 155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38" name="Rectangle 156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39" name="Rectangle 156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40" name="Rectangle 156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41" name="Rectangle 156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42" name="Rectangle 156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43" name="Rectangle 156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44" name="Rectangle 156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45" name="Rectangle 156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46" name="Rectangle 156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47" name="Rectangle 156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48" name="Rectangle 157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49" name="Rectangle 157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50" name="Rectangle 157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51" name="Rectangle 157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52" name="Rectangle 157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53" name="Rectangle 157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54" name="Rectangle 157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55" name="Rectangle 157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56" name="Rectangle 157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57" name="Rectangle 157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58" name="Rectangle 158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59" name="Rectangle 158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60" name="Rectangle 158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61" name="Rectangle 158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62" name="Rectangle 158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63" name="Rectangle 158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64" name="Rectangle 158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65" name="Rectangle 158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66" name="Rectangle 158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67" name="Rectangle 158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68" name="Rectangle 159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69" name="Rectangle 159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70" name="Rectangle 159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71" name="Rectangle 159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72" name="Rectangle 159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73" name="Rectangle 159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74" name="Rectangle 159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75" name="Rectangle 159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76" name="Rectangle 159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77" name="Rectangle 159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78" name="Rectangle 160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79" name="Rectangle 160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80" name="Rectangle 160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81" name="Rectangle 160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82" name="Rectangle 160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83" name="Rectangle 160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84" name="Rectangle 160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85" name="Rectangle 160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86" name="Rectangle 160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87" name="Rectangle 160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88" name="Rectangle 161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89" name="Rectangle 161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90" name="Rectangle 161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91" name="Rectangle 161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92" name="Rectangle 161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93" name="Rectangle 161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94" name="Rectangle 161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95" name="Rectangle 161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96" name="Rectangle 161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97" name="Rectangle 161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98" name="Rectangle 162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499" name="Rectangle 162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00" name="Rectangle 162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01" name="Rectangle 162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02" name="Rectangle 162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03" name="Rectangle 162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04" name="Rectangle 162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05" name="Rectangle 162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06" name="Rectangle 162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07" name="Rectangle 162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08" name="Rectangle 163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09" name="Rectangle 163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10" name="Rectangle 163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11" name="Rectangle 163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12" name="Rectangle 163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13" name="Rectangle 163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14" name="Rectangle 163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15" name="Rectangle 163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16" name="Rectangle 163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17" name="Rectangle 163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18" name="Rectangle 164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19" name="Rectangle 164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20" name="Rectangle 164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21" name="Rectangle 164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22" name="Rectangle 164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23" name="Rectangle 164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24" name="Rectangle 164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25" name="Rectangle 164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26" name="Rectangle 164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27" name="Rectangle 164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28" name="Rectangle 165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29" name="Rectangle 165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30" name="Rectangle 165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31" name="Rectangle 165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32" name="Rectangle 165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33" name="Rectangle 165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34" name="Rectangle 165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35" name="Rectangle 165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36" name="Rectangle 165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37" name="Rectangle 165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38" name="Rectangle 166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39" name="Rectangle 166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40" name="Rectangle 166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41" name="Rectangle 166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42" name="Rectangle 166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43" name="Rectangle 166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44" name="Rectangle 166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45" name="Rectangle 166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46" name="Rectangle 166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47" name="Rectangle 166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48" name="Rectangle 167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49" name="Rectangle 167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50" name="Rectangle 167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51" name="Rectangle 167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52" name="Rectangle 167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53" name="Rectangle 167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54" name="Rectangle 167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55" name="Rectangle 167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56" name="Rectangle 167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57" name="Rectangle 167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58" name="Rectangle 168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59" name="Rectangle 168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60" name="Rectangle 168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61" name="Rectangle 168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62" name="Rectangle 168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63" name="Rectangle 168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64" name="Rectangle 168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65" name="Rectangle 168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66" name="Rectangle 168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67" name="Rectangle 168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68" name="Rectangle 169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69" name="Rectangle 169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70" name="Rectangle 169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71" name="Rectangle 169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72" name="Rectangle 169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73" name="Rectangle 169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74" name="Rectangle 169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75" name="Rectangle 169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76" name="Rectangle 169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77" name="Rectangle 169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78" name="Rectangle 170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79" name="Rectangle 170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80" name="Rectangle 170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81" name="Rectangle 170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82" name="Rectangle 170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83" name="Rectangle 170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88" name="Rectangle 171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89" name="Rectangle 171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90" name="Rectangle 171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91" name="Rectangle 171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92" name="Rectangle 171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93" name="Rectangle 171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94" name="Rectangle 171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95" name="Rectangle 171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96" name="Rectangle 171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97" name="Rectangle 171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98" name="Rectangle 172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599" name="Rectangle 172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00" name="Rectangle 172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01" name="Rectangle 172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02" name="Rectangle 172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03" name="Rectangle 172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04" name="Rectangle 172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05" name="Rectangle 172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06" name="Rectangle 172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07" name="Rectangle 172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08" name="Rectangle 173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09" name="Rectangle 173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10" name="Rectangle 173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11" name="Rectangle 173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12" name="Rectangle 173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13" name="Rectangle 173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14" name="Rectangle 173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15" name="Rectangle 173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16" name="Rectangle 173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17" name="Rectangle 173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18" name="Rectangle 1740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19" name="Rectangle 1741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20" name="Rectangle 1742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21" name="Rectangle 1743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22" name="Rectangle 1744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23" name="Rectangle 1745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24" name="Rectangle 1746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25" name="Rectangle 1747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26" name="Rectangle 1748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0</xdr:colOff>
      <xdr:row>27</xdr:row>
      <xdr:rowOff>485775</xdr:rowOff>
    </xdr:from>
    <xdr:to>
      <xdr:col>17</xdr:col>
      <xdr:colOff>0</xdr:colOff>
      <xdr:row>27</xdr:row>
      <xdr:rowOff>485775</xdr:rowOff>
    </xdr:to>
    <xdr:sp macro="" textlink="">
      <xdr:nvSpPr>
        <xdr:cNvPr id="1627" name="Rectangle 1749"/>
        <xdr:cNvSpPr>
          <a:spLocks noChangeArrowheads="1"/>
        </xdr:cNvSpPr>
      </xdr:nvSpPr>
      <xdr:spPr bwMode="auto">
        <a:xfrm>
          <a:off x="14630400" y="13144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54</xdr:row>
      <xdr:rowOff>0</xdr:rowOff>
    </xdr:from>
    <xdr:to>
      <xdr:col>18</xdr:col>
      <xdr:colOff>0</xdr:colOff>
      <xdr:row>54</xdr:row>
      <xdr:rowOff>0</xdr:rowOff>
    </xdr:to>
    <xdr:sp macro="" textlink="">
      <xdr:nvSpPr>
        <xdr:cNvPr id="2192" name="Line 18"/>
        <xdr:cNvSpPr>
          <a:spLocks noChangeShapeType="1"/>
        </xdr:cNvSpPr>
      </xdr:nvSpPr>
      <xdr:spPr bwMode="auto">
        <a:xfrm>
          <a:off x="15687675" y="4524375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54</xdr:row>
      <xdr:rowOff>0</xdr:rowOff>
    </xdr:from>
    <xdr:to>
      <xdr:col>18</xdr:col>
      <xdr:colOff>0</xdr:colOff>
      <xdr:row>54</xdr:row>
      <xdr:rowOff>0</xdr:rowOff>
    </xdr:to>
    <xdr:sp macro="" textlink="">
      <xdr:nvSpPr>
        <xdr:cNvPr id="2193" name="Line 28"/>
        <xdr:cNvSpPr>
          <a:spLocks noChangeShapeType="1"/>
        </xdr:cNvSpPr>
      </xdr:nvSpPr>
      <xdr:spPr bwMode="auto">
        <a:xfrm>
          <a:off x="15687675" y="4524375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54</xdr:row>
      <xdr:rowOff>0</xdr:rowOff>
    </xdr:from>
    <xdr:to>
      <xdr:col>18</xdr:col>
      <xdr:colOff>0</xdr:colOff>
      <xdr:row>54</xdr:row>
      <xdr:rowOff>0</xdr:rowOff>
    </xdr:to>
    <xdr:sp macro="" textlink="">
      <xdr:nvSpPr>
        <xdr:cNvPr id="2194" name="Line 46"/>
        <xdr:cNvSpPr>
          <a:spLocks noChangeShapeType="1"/>
        </xdr:cNvSpPr>
      </xdr:nvSpPr>
      <xdr:spPr bwMode="auto">
        <a:xfrm>
          <a:off x="15687675" y="4524375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54</xdr:row>
      <xdr:rowOff>0</xdr:rowOff>
    </xdr:from>
    <xdr:to>
      <xdr:col>18</xdr:col>
      <xdr:colOff>0</xdr:colOff>
      <xdr:row>54</xdr:row>
      <xdr:rowOff>0</xdr:rowOff>
    </xdr:to>
    <xdr:sp macro="" textlink="">
      <xdr:nvSpPr>
        <xdr:cNvPr id="2195" name="Line 47"/>
        <xdr:cNvSpPr>
          <a:spLocks noChangeShapeType="1"/>
        </xdr:cNvSpPr>
      </xdr:nvSpPr>
      <xdr:spPr bwMode="auto">
        <a:xfrm>
          <a:off x="15687675" y="4524375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54</xdr:row>
      <xdr:rowOff>0</xdr:rowOff>
    </xdr:from>
    <xdr:to>
      <xdr:col>18</xdr:col>
      <xdr:colOff>0</xdr:colOff>
      <xdr:row>54</xdr:row>
      <xdr:rowOff>0</xdr:rowOff>
    </xdr:to>
    <xdr:sp macro="" textlink="">
      <xdr:nvSpPr>
        <xdr:cNvPr id="2196" name="Line 48"/>
        <xdr:cNvSpPr>
          <a:spLocks noChangeShapeType="1"/>
        </xdr:cNvSpPr>
      </xdr:nvSpPr>
      <xdr:spPr bwMode="auto">
        <a:xfrm>
          <a:off x="15687675" y="4524375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54</xdr:row>
      <xdr:rowOff>0</xdr:rowOff>
    </xdr:from>
    <xdr:to>
      <xdr:col>18</xdr:col>
      <xdr:colOff>0</xdr:colOff>
      <xdr:row>54</xdr:row>
      <xdr:rowOff>0</xdr:rowOff>
    </xdr:to>
    <xdr:sp macro="" textlink="">
      <xdr:nvSpPr>
        <xdr:cNvPr id="2197" name="Line 49"/>
        <xdr:cNvSpPr>
          <a:spLocks noChangeShapeType="1"/>
        </xdr:cNvSpPr>
      </xdr:nvSpPr>
      <xdr:spPr bwMode="auto">
        <a:xfrm>
          <a:off x="15687675" y="4524375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43</xdr:row>
      <xdr:rowOff>0</xdr:rowOff>
    </xdr:from>
    <xdr:to>
      <xdr:col>18</xdr:col>
      <xdr:colOff>0</xdr:colOff>
      <xdr:row>43</xdr:row>
      <xdr:rowOff>0</xdr:rowOff>
    </xdr:to>
    <xdr:sp macro="" textlink="">
      <xdr:nvSpPr>
        <xdr:cNvPr id="2198" name="Line 18"/>
        <xdr:cNvSpPr>
          <a:spLocks noChangeShapeType="1"/>
        </xdr:cNvSpPr>
      </xdr:nvSpPr>
      <xdr:spPr bwMode="auto">
        <a:xfrm>
          <a:off x="21880286" y="6640286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43</xdr:row>
      <xdr:rowOff>0</xdr:rowOff>
    </xdr:from>
    <xdr:to>
      <xdr:col>18</xdr:col>
      <xdr:colOff>0</xdr:colOff>
      <xdr:row>43</xdr:row>
      <xdr:rowOff>0</xdr:rowOff>
    </xdr:to>
    <xdr:sp macro="" textlink="">
      <xdr:nvSpPr>
        <xdr:cNvPr id="2199" name="Line 28"/>
        <xdr:cNvSpPr>
          <a:spLocks noChangeShapeType="1"/>
        </xdr:cNvSpPr>
      </xdr:nvSpPr>
      <xdr:spPr bwMode="auto">
        <a:xfrm>
          <a:off x="21880286" y="6640286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43</xdr:row>
      <xdr:rowOff>0</xdr:rowOff>
    </xdr:from>
    <xdr:to>
      <xdr:col>18</xdr:col>
      <xdr:colOff>0</xdr:colOff>
      <xdr:row>43</xdr:row>
      <xdr:rowOff>0</xdr:rowOff>
    </xdr:to>
    <xdr:sp macro="" textlink="">
      <xdr:nvSpPr>
        <xdr:cNvPr id="2200" name="Line 46"/>
        <xdr:cNvSpPr>
          <a:spLocks noChangeShapeType="1"/>
        </xdr:cNvSpPr>
      </xdr:nvSpPr>
      <xdr:spPr bwMode="auto">
        <a:xfrm>
          <a:off x="21880286" y="6640286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43</xdr:row>
      <xdr:rowOff>0</xdr:rowOff>
    </xdr:from>
    <xdr:to>
      <xdr:col>18</xdr:col>
      <xdr:colOff>0</xdr:colOff>
      <xdr:row>43</xdr:row>
      <xdr:rowOff>0</xdr:rowOff>
    </xdr:to>
    <xdr:sp macro="" textlink="">
      <xdr:nvSpPr>
        <xdr:cNvPr id="2201" name="Line 47"/>
        <xdr:cNvSpPr>
          <a:spLocks noChangeShapeType="1"/>
        </xdr:cNvSpPr>
      </xdr:nvSpPr>
      <xdr:spPr bwMode="auto">
        <a:xfrm>
          <a:off x="21880286" y="6640286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43</xdr:row>
      <xdr:rowOff>0</xdr:rowOff>
    </xdr:from>
    <xdr:to>
      <xdr:col>18</xdr:col>
      <xdr:colOff>0</xdr:colOff>
      <xdr:row>43</xdr:row>
      <xdr:rowOff>0</xdr:rowOff>
    </xdr:to>
    <xdr:sp macro="" textlink="">
      <xdr:nvSpPr>
        <xdr:cNvPr id="2202" name="Line 48"/>
        <xdr:cNvSpPr>
          <a:spLocks noChangeShapeType="1"/>
        </xdr:cNvSpPr>
      </xdr:nvSpPr>
      <xdr:spPr bwMode="auto">
        <a:xfrm>
          <a:off x="21880286" y="6640286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43</xdr:row>
      <xdr:rowOff>0</xdr:rowOff>
    </xdr:from>
    <xdr:to>
      <xdr:col>18</xdr:col>
      <xdr:colOff>0</xdr:colOff>
      <xdr:row>43</xdr:row>
      <xdr:rowOff>0</xdr:rowOff>
    </xdr:to>
    <xdr:sp macro="" textlink="">
      <xdr:nvSpPr>
        <xdr:cNvPr id="2203" name="Line 49"/>
        <xdr:cNvSpPr>
          <a:spLocks noChangeShapeType="1"/>
        </xdr:cNvSpPr>
      </xdr:nvSpPr>
      <xdr:spPr bwMode="auto">
        <a:xfrm>
          <a:off x="21880286" y="6640286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44</xdr:row>
      <xdr:rowOff>0</xdr:rowOff>
    </xdr:from>
    <xdr:to>
      <xdr:col>18</xdr:col>
      <xdr:colOff>0</xdr:colOff>
      <xdr:row>44</xdr:row>
      <xdr:rowOff>0</xdr:rowOff>
    </xdr:to>
    <xdr:sp macro="" textlink="">
      <xdr:nvSpPr>
        <xdr:cNvPr id="2204" name="Line 18"/>
        <xdr:cNvSpPr>
          <a:spLocks noChangeShapeType="1"/>
        </xdr:cNvSpPr>
      </xdr:nvSpPr>
      <xdr:spPr bwMode="auto">
        <a:xfrm>
          <a:off x="21880286" y="6830786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44</xdr:row>
      <xdr:rowOff>0</xdr:rowOff>
    </xdr:from>
    <xdr:to>
      <xdr:col>18</xdr:col>
      <xdr:colOff>0</xdr:colOff>
      <xdr:row>44</xdr:row>
      <xdr:rowOff>0</xdr:rowOff>
    </xdr:to>
    <xdr:sp macro="" textlink="">
      <xdr:nvSpPr>
        <xdr:cNvPr id="2205" name="Line 28"/>
        <xdr:cNvSpPr>
          <a:spLocks noChangeShapeType="1"/>
        </xdr:cNvSpPr>
      </xdr:nvSpPr>
      <xdr:spPr bwMode="auto">
        <a:xfrm>
          <a:off x="21880286" y="6830786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44</xdr:row>
      <xdr:rowOff>0</xdr:rowOff>
    </xdr:from>
    <xdr:to>
      <xdr:col>18</xdr:col>
      <xdr:colOff>0</xdr:colOff>
      <xdr:row>44</xdr:row>
      <xdr:rowOff>0</xdr:rowOff>
    </xdr:to>
    <xdr:sp macro="" textlink="">
      <xdr:nvSpPr>
        <xdr:cNvPr id="2206" name="Line 46"/>
        <xdr:cNvSpPr>
          <a:spLocks noChangeShapeType="1"/>
        </xdr:cNvSpPr>
      </xdr:nvSpPr>
      <xdr:spPr bwMode="auto">
        <a:xfrm>
          <a:off x="21880286" y="6830786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44</xdr:row>
      <xdr:rowOff>0</xdr:rowOff>
    </xdr:from>
    <xdr:to>
      <xdr:col>18</xdr:col>
      <xdr:colOff>0</xdr:colOff>
      <xdr:row>44</xdr:row>
      <xdr:rowOff>0</xdr:rowOff>
    </xdr:to>
    <xdr:sp macro="" textlink="">
      <xdr:nvSpPr>
        <xdr:cNvPr id="2207" name="Line 47"/>
        <xdr:cNvSpPr>
          <a:spLocks noChangeShapeType="1"/>
        </xdr:cNvSpPr>
      </xdr:nvSpPr>
      <xdr:spPr bwMode="auto">
        <a:xfrm>
          <a:off x="21880286" y="6830786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44</xdr:row>
      <xdr:rowOff>0</xdr:rowOff>
    </xdr:from>
    <xdr:to>
      <xdr:col>18</xdr:col>
      <xdr:colOff>0</xdr:colOff>
      <xdr:row>44</xdr:row>
      <xdr:rowOff>0</xdr:rowOff>
    </xdr:to>
    <xdr:sp macro="" textlink="">
      <xdr:nvSpPr>
        <xdr:cNvPr id="2208" name="Line 48"/>
        <xdr:cNvSpPr>
          <a:spLocks noChangeShapeType="1"/>
        </xdr:cNvSpPr>
      </xdr:nvSpPr>
      <xdr:spPr bwMode="auto">
        <a:xfrm>
          <a:off x="21880286" y="6830786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44</xdr:row>
      <xdr:rowOff>0</xdr:rowOff>
    </xdr:from>
    <xdr:to>
      <xdr:col>18</xdr:col>
      <xdr:colOff>0</xdr:colOff>
      <xdr:row>44</xdr:row>
      <xdr:rowOff>0</xdr:rowOff>
    </xdr:to>
    <xdr:sp macro="" textlink="">
      <xdr:nvSpPr>
        <xdr:cNvPr id="2209" name="Line 49"/>
        <xdr:cNvSpPr>
          <a:spLocks noChangeShapeType="1"/>
        </xdr:cNvSpPr>
      </xdr:nvSpPr>
      <xdr:spPr bwMode="auto">
        <a:xfrm>
          <a:off x="21880286" y="6830786"/>
          <a:ext cx="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85725</xdr:rowOff>
        </xdr:from>
        <xdr:to>
          <xdr:col>3</xdr:col>
          <xdr:colOff>923925</xdr:colOff>
          <xdr:row>2</xdr:row>
          <xdr:rowOff>85725</xdr:rowOff>
        </xdr:to>
        <xdr:sp macro="" textlink="">
          <xdr:nvSpPr>
            <xdr:cNvPr id="65697" name="Button 157" hidden="1">
              <a:extLst>
                <a:ext uri="{63B3BB69-23CF-44E3-9099-C40C66FF867C}">
                  <a14:compatExt spid="_x0000_s65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Appl\Rpg3\Projetos%20RPG-31\PADRONIZA&#199;&#195;O%20DE%20TARIFA&#199;&#195;O\&#193;REA%20021\2&#170;%20Emiss&#227;o\Neax%2061BR\&#193;rea%20021%20-%20Neax61BR-%20SISTEMICA%20-%20EM-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1.9.29\Root\WINDOWS\TEMP\Plano%20Numera&#231;&#227;o%20BSE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clepio\wll%202000\FlavioOfer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area 021 - CSP 0021"/>
      <sheetName val="area 021 - CSP 0023"/>
      <sheetName val="area 021 - CSP 021"/>
      <sheetName val="area 021 - CSP 023"/>
      <sheetName val="area 021 - CSP 085"/>
      <sheetName val="area 021 - CSP 031"/>
      <sheetName val="Plan2"/>
      <sheetName val="Sumário"/>
      <sheetName val="1 Apresentação"/>
      <sheetName val="2 Alterações"/>
      <sheetName val="3.1 Diagrama de Sinalização "/>
      <sheetName val="3.2 Tabela de IMSI e GTT"/>
      <sheetName val="3.3 Tabela de Sinalização"/>
      <sheetName val="4.1 Diagrama de Entroncamento "/>
      <sheetName val="4.2 Tabela de Entroncamento "/>
      <sheetName val="4.3 Tabela de Semi-permanente"/>
      <sheetName val="Área 021 - Neax61BR- SISTEMICA "/>
      <sheetName val="PP DID-Anexo"/>
      <sheetName val="DATABAS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SE AL - Plano Numeração"/>
      <sheetName val="BSE PE - Plano Numeração"/>
      <sheetName val="BSE PB - Plano Numeração"/>
      <sheetName val="BSE RN - Plano Numeração"/>
      <sheetName val="BSE CE - Plano Numeração"/>
      <sheetName val="BSE PI - Plano Numeração"/>
      <sheetName val="BSE AL _ Plano Numeração"/>
      <sheetName val="BSE PE _ Plano Numeração"/>
      <sheetName val="BSE PB _ Plano Numeração"/>
      <sheetName val="BSE RN _ Plano Numeração"/>
      <sheetName val="BSE CE _ Plano Numeraçã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ACRO"/>
      <sheetName val="Dados"/>
      <sheetName val="Terminais Convencionais"/>
      <sheetName val="Receita"/>
      <sheetName val="FlavioOferta"/>
    </sheetNames>
    <sheetDataSet>
      <sheetData sheetId="0" refreshError="1"/>
      <sheetData sheetId="1" refreshError="1"/>
      <sheetData sheetId="2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AH109"/>
  <sheetViews>
    <sheetView showGridLines="0" topLeftCell="A10" workbookViewId="0">
      <selection activeCell="B35" sqref="B35"/>
    </sheetView>
  </sheetViews>
  <sheetFormatPr defaultColWidth="11.42578125" defaultRowHeight="12.75"/>
  <cols>
    <col min="1" max="1" width="2.28515625" style="1" customWidth="1"/>
    <col min="2" max="2" width="10.140625" style="1" customWidth="1"/>
    <col min="3" max="3" width="4.28515625" style="1" bestFit="1" customWidth="1"/>
    <col min="4" max="4" width="8" style="1" bestFit="1" customWidth="1"/>
    <col min="5" max="5" width="9.5703125" style="1" bestFit="1" customWidth="1"/>
    <col min="6" max="6" width="10.140625" style="1" bestFit="1" customWidth="1"/>
    <col min="7" max="7" width="9" style="1" bestFit="1" customWidth="1"/>
    <col min="8" max="8" width="9.28515625" style="1" bestFit="1" customWidth="1"/>
    <col min="9" max="9" width="11.28515625" style="1" bestFit="1" customWidth="1"/>
    <col min="10" max="10" width="8" style="1" bestFit="1" customWidth="1"/>
    <col min="11" max="11" width="10.7109375" style="1" bestFit="1" customWidth="1"/>
    <col min="12" max="12" width="10.140625" style="1" bestFit="1" customWidth="1"/>
    <col min="13" max="13" width="8" style="1" bestFit="1" customWidth="1"/>
    <col min="14" max="14" width="11.42578125" style="1" bestFit="1" customWidth="1"/>
    <col min="15" max="16" width="9.7109375" style="1" bestFit="1" customWidth="1"/>
    <col min="17" max="17" width="5" style="1" bestFit="1" customWidth="1"/>
    <col min="18" max="18" width="10.140625" style="5" bestFit="1" customWidth="1"/>
    <col min="19" max="19" width="11.28515625" style="1" bestFit="1" customWidth="1"/>
    <col min="20" max="20" width="4.5703125" style="1" bestFit="1" customWidth="1"/>
    <col min="21" max="21" width="9" style="1" bestFit="1" customWidth="1"/>
    <col min="22" max="22" width="9.85546875" style="1" bestFit="1" customWidth="1"/>
    <col min="23" max="16384" width="11.42578125" style="1"/>
  </cols>
  <sheetData>
    <row r="1" spans="2:34" ht="12.75" customHeight="1" thickBot="1">
      <c r="AH1" s="77">
        <f ca="1">TODAY()</f>
        <v>42447</v>
      </c>
    </row>
    <row r="2" spans="2:34" s="61" customFormat="1" ht="12.75" customHeight="1" thickBot="1">
      <c r="B2" s="168" t="s">
        <v>108</v>
      </c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69"/>
      <c r="U2" s="169"/>
      <c r="V2" s="170"/>
    </row>
    <row r="3" spans="2:34" ht="12.75" customHeight="1"/>
    <row r="4" spans="2:34" ht="12.75" customHeight="1">
      <c r="B4" s="171" t="s">
        <v>109</v>
      </c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3"/>
    </row>
    <row r="5" spans="2:34" s="74" customFormat="1" ht="27.75" customHeight="1">
      <c r="B5" s="167" t="s">
        <v>2</v>
      </c>
      <c r="C5" s="167" t="s">
        <v>0</v>
      </c>
      <c r="D5" s="167" t="s">
        <v>1</v>
      </c>
      <c r="E5" s="167" t="s">
        <v>75</v>
      </c>
      <c r="F5" s="167" t="s">
        <v>76</v>
      </c>
      <c r="G5" s="164" t="s">
        <v>77</v>
      </c>
      <c r="H5" s="165"/>
      <c r="I5" s="165"/>
      <c r="J5" s="165"/>
      <c r="K5" s="165"/>
      <c r="L5" s="166"/>
      <c r="M5" s="164" t="s">
        <v>78</v>
      </c>
      <c r="N5" s="165"/>
      <c r="O5" s="165"/>
      <c r="P5" s="166"/>
      <c r="Q5" s="167" t="s">
        <v>4</v>
      </c>
      <c r="R5" s="167" t="s">
        <v>110</v>
      </c>
      <c r="S5" s="167"/>
      <c r="T5" s="167"/>
      <c r="U5" s="167"/>
      <c r="V5" s="167" t="s">
        <v>80</v>
      </c>
    </row>
    <row r="6" spans="2:34" s="74" customFormat="1" ht="27.75" customHeight="1">
      <c r="B6" s="167"/>
      <c r="C6" s="167"/>
      <c r="D6" s="167"/>
      <c r="E6" s="167"/>
      <c r="F6" s="167"/>
      <c r="G6" s="73" t="s">
        <v>111</v>
      </c>
      <c r="H6" s="73" t="s">
        <v>112</v>
      </c>
      <c r="I6" s="73" t="s">
        <v>113</v>
      </c>
      <c r="J6" s="75" t="s">
        <v>114</v>
      </c>
      <c r="K6" s="73" t="s">
        <v>115</v>
      </c>
      <c r="L6" s="73" t="s">
        <v>116</v>
      </c>
      <c r="M6" s="73" t="s">
        <v>117</v>
      </c>
      <c r="N6" s="73" t="s">
        <v>3</v>
      </c>
      <c r="O6" s="73" t="s">
        <v>86</v>
      </c>
      <c r="P6" s="73" t="s">
        <v>87</v>
      </c>
      <c r="Q6" s="167"/>
      <c r="R6" s="76" t="s">
        <v>118</v>
      </c>
      <c r="S6" s="76" t="s">
        <v>119</v>
      </c>
      <c r="T6" s="76" t="s">
        <v>5</v>
      </c>
      <c r="U6" s="76" t="s">
        <v>120</v>
      </c>
      <c r="V6" s="167"/>
    </row>
    <row r="7" spans="2:34" ht="12.75" customHeight="1">
      <c r="B7" s="66" t="s">
        <v>198</v>
      </c>
      <c r="C7" s="68">
        <v>1</v>
      </c>
      <c r="D7" s="68">
        <v>1261</v>
      </c>
      <c r="E7" s="69">
        <v>1</v>
      </c>
      <c r="F7" s="66">
        <v>4</v>
      </c>
      <c r="G7" s="67" t="s">
        <v>121</v>
      </c>
      <c r="H7" s="66">
        <v>0</v>
      </c>
      <c r="I7" s="70" t="s">
        <v>99</v>
      </c>
      <c r="J7" s="70" t="s">
        <v>107</v>
      </c>
      <c r="K7" s="66">
        <v>512</v>
      </c>
      <c r="L7" s="69">
        <v>123</v>
      </c>
      <c r="M7" s="69">
        <v>776</v>
      </c>
      <c r="N7" s="66">
        <v>1</v>
      </c>
      <c r="O7" s="66" t="s">
        <v>122</v>
      </c>
      <c r="P7" s="71" t="s">
        <v>123</v>
      </c>
      <c r="Q7" s="69">
        <v>9250</v>
      </c>
      <c r="R7" s="66">
        <v>700</v>
      </c>
      <c r="S7" s="70" t="s">
        <v>99</v>
      </c>
      <c r="T7" s="66">
        <v>700</v>
      </c>
      <c r="U7" s="66">
        <v>0</v>
      </c>
      <c r="V7" s="72" t="s">
        <v>95</v>
      </c>
    </row>
    <row r="8" spans="2:34" ht="12.75" customHeight="1">
      <c r="B8" s="66" t="s">
        <v>198</v>
      </c>
      <c r="C8" s="68">
        <v>1</v>
      </c>
      <c r="D8" s="68">
        <v>1261</v>
      </c>
      <c r="E8" s="69">
        <v>1</v>
      </c>
      <c r="F8" s="66">
        <v>4</v>
      </c>
      <c r="G8" s="67" t="s">
        <v>121</v>
      </c>
      <c r="H8" s="66">
        <v>1</v>
      </c>
      <c r="I8" s="70" t="s">
        <v>100</v>
      </c>
      <c r="J8" s="70" t="s">
        <v>107</v>
      </c>
      <c r="K8" s="66">
        <v>512</v>
      </c>
      <c r="L8" s="69">
        <v>381</v>
      </c>
      <c r="M8" s="69">
        <v>904</v>
      </c>
      <c r="N8" s="66">
        <v>1</v>
      </c>
      <c r="O8" s="66" t="s">
        <v>122</v>
      </c>
      <c r="P8" s="71" t="s">
        <v>123</v>
      </c>
      <c r="Q8" s="69">
        <v>9250</v>
      </c>
      <c r="R8" s="66">
        <v>701</v>
      </c>
      <c r="S8" s="70" t="s">
        <v>100</v>
      </c>
      <c r="T8" s="66">
        <v>701</v>
      </c>
      <c r="U8" s="66">
        <v>1</v>
      </c>
      <c r="V8" s="72" t="s">
        <v>95</v>
      </c>
    </row>
    <row r="9" spans="2:34" ht="12.75" customHeight="1">
      <c r="B9" s="66" t="s">
        <v>198</v>
      </c>
      <c r="C9" s="68">
        <v>1</v>
      </c>
      <c r="D9" s="68">
        <v>1261</v>
      </c>
      <c r="E9" s="69">
        <v>2</v>
      </c>
      <c r="F9" s="66">
        <v>4</v>
      </c>
      <c r="G9" s="67" t="s">
        <v>121</v>
      </c>
      <c r="H9" s="66">
        <v>2</v>
      </c>
      <c r="I9" s="70" t="s">
        <v>101</v>
      </c>
      <c r="J9" s="70" t="s">
        <v>107</v>
      </c>
      <c r="K9" s="66">
        <v>512</v>
      </c>
      <c r="L9" s="69">
        <v>123</v>
      </c>
      <c r="M9" s="69">
        <v>776</v>
      </c>
      <c r="N9" s="66">
        <v>9</v>
      </c>
      <c r="O9" s="66" t="s">
        <v>122</v>
      </c>
      <c r="P9" s="71" t="s">
        <v>123</v>
      </c>
      <c r="Q9" s="69">
        <v>9251</v>
      </c>
      <c r="R9" s="66">
        <v>702</v>
      </c>
      <c r="S9" s="70" t="s">
        <v>101</v>
      </c>
      <c r="T9" s="66">
        <v>702</v>
      </c>
      <c r="U9" s="66">
        <v>2</v>
      </c>
      <c r="V9" s="72" t="s">
        <v>95</v>
      </c>
    </row>
    <row r="10" spans="2:34" ht="12.75" customHeight="1">
      <c r="B10" s="66" t="s">
        <v>198</v>
      </c>
      <c r="C10" s="68">
        <v>1</v>
      </c>
      <c r="D10" s="68">
        <v>1261</v>
      </c>
      <c r="E10" s="69">
        <v>2</v>
      </c>
      <c r="F10" s="66">
        <v>4</v>
      </c>
      <c r="G10" s="67" t="s">
        <v>121</v>
      </c>
      <c r="H10" s="66">
        <v>3</v>
      </c>
      <c r="I10" s="70" t="s">
        <v>102</v>
      </c>
      <c r="J10" s="70" t="s">
        <v>107</v>
      </c>
      <c r="K10" s="66">
        <v>512</v>
      </c>
      <c r="L10" s="69">
        <v>381</v>
      </c>
      <c r="M10" s="69">
        <v>904</v>
      </c>
      <c r="N10" s="66">
        <v>9</v>
      </c>
      <c r="O10" s="66" t="s">
        <v>122</v>
      </c>
      <c r="P10" s="71" t="s">
        <v>123</v>
      </c>
      <c r="Q10" s="69">
        <v>9251</v>
      </c>
      <c r="R10" s="66">
        <v>703</v>
      </c>
      <c r="S10" s="70" t="s">
        <v>102</v>
      </c>
      <c r="T10" s="66">
        <v>703</v>
      </c>
      <c r="U10" s="66">
        <v>3</v>
      </c>
      <c r="V10" s="72" t="s">
        <v>95</v>
      </c>
    </row>
    <row r="11" spans="2:34" ht="12.75" customHeight="1">
      <c r="B11" s="66" t="s">
        <v>198</v>
      </c>
      <c r="C11" s="68">
        <v>1</v>
      </c>
      <c r="D11" s="68">
        <v>1261</v>
      </c>
      <c r="E11" s="69">
        <v>1</v>
      </c>
      <c r="F11" s="66">
        <v>6</v>
      </c>
      <c r="G11" s="67" t="s">
        <v>121</v>
      </c>
      <c r="H11" s="66">
        <v>4</v>
      </c>
      <c r="I11" s="70" t="s">
        <v>103</v>
      </c>
      <c r="J11" s="70" t="s">
        <v>107</v>
      </c>
      <c r="K11" s="66">
        <v>512</v>
      </c>
      <c r="L11" s="69">
        <v>123</v>
      </c>
      <c r="M11" s="69">
        <v>776</v>
      </c>
      <c r="N11" s="66">
        <v>17</v>
      </c>
      <c r="O11" s="66" t="s">
        <v>122</v>
      </c>
      <c r="P11" s="71" t="s">
        <v>123</v>
      </c>
      <c r="Q11" s="69">
        <v>9252</v>
      </c>
      <c r="R11" s="66">
        <v>704</v>
      </c>
      <c r="S11" s="70" t="s">
        <v>103</v>
      </c>
      <c r="T11" s="66">
        <v>704</v>
      </c>
      <c r="U11" s="66">
        <v>4</v>
      </c>
      <c r="V11" s="72" t="s">
        <v>95</v>
      </c>
    </row>
    <row r="12" spans="2:34" ht="12.75" customHeight="1">
      <c r="B12" s="66" t="s">
        <v>198</v>
      </c>
      <c r="C12" s="68">
        <v>1</v>
      </c>
      <c r="D12" s="68">
        <v>1261</v>
      </c>
      <c r="E12" s="69">
        <v>1</v>
      </c>
      <c r="F12" s="66">
        <v>6</v>
      </c>
      <c r="G12" s="67" t="s">
        <v>121</v>
      </c>
      <c r="H12" s="66">
        <v>5</v>
      </c>
      <c r="I12" s="70" t="s">
        <v>104</v>
      </c>
      <c r="J12" s="70" t="s">
        <v>107</v>
      </c>
      <c r="K12" s="66">
        <v>512</v>
      </c>
      <c r="L12" s="69">
        <v>381</v>
      </c>
      <c r="M12" s="69">
        <v>904</v>
      </c>
      <c r="N12" s="66">
        <v>17</v>
      </c>
      <c r="O12" s="66" t="s">
        <v>122</v>
      </c>
      <c r="P12" s="71" t="s">
        <v>123</v>
      </c>
      <c r="Q12" s="69">
        <v>9252</v>
      </c>
      <c r="R12" s="66">
        <v>705</v>
      </c>
      <c r="S12" s="70" t="s">
        <v>104</v>
      </c>
      <c r="T12" s="66">
        <v>705</v>
      </c>
      <c r="U12" s="66">
        <v>5</v>
      </c>
      <c r="V12" s="72" t="s">
        <v>95</v>
      </c>
    </row>
    <row r="13" spans="2:34" ht="12.75" customHeight="1">
      <c r="B13" s="66" t="s">
        <v>198</v>
      </c>
      <c r="C13" s="68">
        <v>1</v>
      </c>
      <c r="D13" s="68">
        <v>1261</v>
      </c>
      <c r="E13" s="69">
        <v>2</v>
      </c>
      <c r="F13" s="66">
        <v>6</v>
      </c>
      <c r="G13" s="67" t="s">
        <v>121</v>
      </c>
      <c r="H13" s="66">
        <v>6</v>
      </c>
      <c r="I13" s="70" t="s">
        <v>105</v>
      </c>
      <c r="J13" s="70" t="s">
        <v>107</v>
      </c>
      <c r="K13" s="66">
        <v>448</v>
      </c>
      <c r="L13" s="69">
        <v>123</v>
      </c>
      <c r="M13" s="69">
        <v>776</v>
      </c>
      <c r="N13" s="66">
        <v>25</v>
      </c>
      <c r="O13" s="66" t="s">
        <v>122</v>
      </c>
      <c r="P13" s="71" t="s">
        <v>123</v>
      </c>
      <c r="Q13" s="69">
        <v>9253</v>
      </c>
      <c r="R13" s="66">
        <v>706</v>
      </c>
      <c r="S13" s="70" t="s">
        <v>105</v>
      </c>
      <c r="T13" s="66">
        <v>706</v>
      </c>
      <c r="U13" s="66">
        <v>6</v>
      </c>
      <c r="V13" s="72" t="s">
        <v>95</v>
      </c>
    </row>
    <row r="14" spans="2:34" ht="12.75" customHeight="1">
      <c r="B14" s="66" t="s">
        <v>198</v>
      </c>
      <c r="C14" s="68">
        <v>1</v>
      </c>
      <c r="D14" s="68">
        <v>1261</v>
      </c>
      <c r="E14" s="69">
        <v>2</v>
      </c>
      <c r="F14" s="66">
        <v>6</v>
      </c>
      <c r="G14" s="67" t="s">
        <v>121</v>
      </c>
      <c r="H14" s="66">
        <v>7</v>
      </c>
      <c r="I14" s="70" t="s">
        <v>106</v>
      </c>
      <c r="J14" s="70" t="s">
        <v>107</v>
      </c>
      <c r="K14" s="66">
        <v>448</v>
      </c>
      <c r="L14" s="69">
        <v>381</v>
      </c>
      <c r="M14" s="69">
        <v>904</v>
      </c>
      <c r="N14" s="66">
        <v>25</v>
      </c>
      <c r="O14" s="66" t="s">
        <v>122</v>
      </c>
      <c r="P14" s="71" t="s">
        <v>123</v>
      </c>
      <c r="Q14" s="69">
        <v>9253</v>
      </c>
      <c r="R14" s="66">
        <v>707</v>
      </c>
      <c r="S14" s="70" t="s">
        <v>106</v>
      </c>
      <c r="T14" s="66">
        <v>707</v>
      </c>
      <c r="U14" s="66">
        <v>7</v>
      </c>
      <c r="V14" s="72" t="s">
        <v>95</v>
      </c>
    </row>
    <row r="15" spans="2:34" ht="12.75" customHeight="1">
      <c r="B15" s="66" t="s">
        <v>198</v>
      </c>
      <c r="C15" s="67">
        <v>1</v>
      </c>
      <c r="D15" s="68">
        <v>1261</v>
      </c>
      <c r="E15" s="69"/>
      <c r="F15" s="66"/>
      <c r="G15" s="67"/>
      <c r="H15" s="66"/>
      <c r="I15" s="70"/>
      <c r="J15" s="70"/>
      <c r="K15" s="66"/>
      <c r="L15" s="69"/>
      <c r="M15" s="69"/>
      <c r="N15" s="66"/>
      <c r="O15" s="66"/>
      <c r="P15" s="71"/>
      <c r="Q15" s="69"/>
      <c r="R15" s="66"/>
      <c r="S15" s="70"/>
      <c r="T15" s="66"/>
      <c r="U15" s="66"/>
      <c r="V15" s="72"/>
    </row>
    <row r="16" spans="2:34" ht="12.75" customHeight="1">
      <c r="B16" s="66" t="s">
        <v>198</v>
      </c>
      <c r="C16" s="67">
        <v>1</v>
      </c>
      <c r="D16" s="68">
        <v>1261</v>
      </c>
      <c r="E16" s="69"/>
      <c r="F16" s="66"/>
      <c r="G16" s="67"/>
      <c r="H16" s="66"/>
      <c r="I16" s="70"/>
      <c r="J16" s="70"/>
      <c r="K16" s="66"/>
      <c r="L16" s="69"/>
      <c r="M16" s="69"/>
      <c r="N16" s="66"/>
      <c r="O16" s="66"/>
      <c r="P16" s="71"/>
      <c r="Q16" s="69"/>
      <c r="R16" s="66"/>
      <c r="S16" s="70"/>
      <c r="T16" s="66"/>
      <c r="U16" s="66"/>
      <c r="V16" s="72"/>
    </row>
    <row r="17" spans="2:22" ht="12.75" customHeight="1">
      <c r="B17" s="66" t="s">
        <v>198</v>
      </c>
      <c r="C17" s="67">
        <v>1</v>
      </c>
      <c r="D17" s="68">
        <v>1261</v>
      </c>
      <c r="E17" s="69"/>
      <c r="F17" s="66"/>
      <c r="G17" s="67"/>
      <c r="H17" s="66"/>
      <c r="I17" s="70"/>
      <c r="J17" s="70"/>
      <c r="K17" s="66"/>
      <c r="L17" s="69"/>
      <c r="M17" s="69"/>
      <c r="N17" s="66"/>
      <c r="O17" s="66"/>
      <c r="P17" s="71"/>
      <c r="Q17" s="69"/>
      <c r="R17" s="66"/>
      <c r="S17" s="70"/>
      <c r="T17" s="66"/>
      <c r="U17" s="66"/>
      <c r="V17" s="72"/>
    </row>
    <row r="18" spans="2:22" ht="12.75" customHeight="1">
      <c r="B18" s="66" t="s">
        <v>198</v>
      </c>
      <c r="C18" s="67">
        <v>1</v>
      </c>
      <c r="D18" s="68">
        <v>1261</v>
      </c>
      <c r="E18" s="69"/>
      <c r="F18" s="66"/>
      <c r="G18" s="67"/>
      <c r="H18" s="66"/>
      <c r="I18" s="70"/>
      <c r="J18" s="70"/>
      <c r="K18" s="66"/>
      <c r="L18" s="69"/>
      <c r="M18" s="69"/>
      <c r="N18" s="66"/>
      <c r="O18" s="66"/>
      <c r="P18" s="71"/>
      <c r="Q18" s="69"/>
      <c r="R18" s="66"/>
      <c r="S18" s="70"/>
      <c r="T18" s="66"/>
      <c r="U18" s="66"/>
      <c r="V18" s="72"/>
    </row>
    <row r="19" spans="2:22" ht="12.75" customHeight="1">
      <c r="B19" s="66" t="s">
        <v>198</v>
      </c>
      <c r="C19" s="67">
        <v>1</v>
      </c>
      <c r="D19" s="68">
        <v>1261</v>
      </c>
      <c r="E19" s="69"/>
      <c r="F19" s="66"/>
      <c r="G19" s="67"/>
      <c r="H19" s="66"/>
      <c r="I19" s="70"/>
      <c r="J19" s="70"/>
      <c r="K19" s="66"/>
      <c r="L19" s="69"/>
      <c r="M19" s="69"/>
      <c r="N19" s="66"/>
      <c r="O19" s="66"/>
      <c r="P19" s="71"/>
      <c r="Q19" s="69"/>
      <c r="R19" s="66"/>
      <c r="S19" s="70"/>
      <c r="T19" s="66"/>
      <c r="U19" s="66"/>
      <c r="V19" s="72"/>
    </row>
    <row r="20" spans="2:22" ht="12.75" customHeight="1">
      <c r="B20" s="66" t="s">
        <v>198</v>
      </c>
      <c r="C20" s="67">
        <v>1</v>
      </c>
      <c r="D20" s="68">
        <v>1261</v>
      </c>
      <c r="E20" s="69"/>
      <c r="F20" s="66"/>
      <c r="G20" s="67"/>
      <c r="H20" s="66"/>
      <c r="I20" s="70"/>
      <c r="J20" s="70"/>
      <c r="K20" s="66"/>
      <c r="L20" s="69"/>
      <c r="M20" s="69"/>
      <c r="N20" s="66"/>
      <c r="O20" s="66"/>
      <c r="P20" s="71"/>
      <c r="Q20" s="69"/>
      <c r="R20" s="66"/>
      <c r="S20" s="70"/>
      <c r="T20" s="66"/>
      <c r="U20" s="66"/>
      <c r="V20" s="72"/>
    </row>
    <row r="21" spans="2:22" ht="12.75" customHeight="1">
      <c r="B21" s="66" t="s">
        <v>198</v>
      </c>
      <c r="C21" s="67">
        <v>1</v>
      </c>
      <c r="D21" s="68">
        <v>1261</v>
      </c>
      <c r="E21" s="69"/>
      <c r="F21" s="66"/>
      <c r="G21" s="67"/>
      <c r="H21" s="66"/>
      <c r="I21" s="70"/>
      <c r="J21" s="70"/>
      <c r="K21" s="66"/>
      <c r="L21" s="69"/>
      <c r="M21" s="69"/>
      <c r="N21" s="66"/>
      <c r="O21" s="66"/>
      <c r="P21" s="71"/>
      <c r="Q21" s="69"/>
      <c r="R21" s="66"/>
      <c r="S21" s="70"/>
      <c r="T21" s="66"/>
      <c r="U21" s="66"/>
      <c r="V21" s="72"/>
    </row>
    <row r="22" spans="2:22" ht="12.75" customHeight="1">
      <c r="B22" s="66" t="s">
        <v>198</v>
      </c>
      <c r="C22" s="67">
        <v>1</v>
      </c>
      <c r="D22" s="68">
        <v>1261</v>
      </c>
      <c r="E22" s="69"/>
      <c r="F22" s="66"/>
      <c r="G22" s="67"/>
      <c r="H22" s="66"/>
      <c r="I22" s="70"/>
      <c r="J22" s="70"/>
      <c r="K22" s="66"/>
      <c r="L22" s="69"/>
      <c r="M22" s="69"/>
      <c r="N22" s="66"/>
      <c r="O22" s="66"/>
      <c r="P22" s="71"/>
      <c r="Q22" s="69"/>
      <c r="R22" s="66"/>
      <c r="S22" s="70"/>
      <c r="T22" s="66"/>
      <c r="U22" s="66"/>
      <c r="V22" s="72"/>
    </row>
    <row r="23" spans="2:22" ht="12.75" customHeight="1"/>
    <row r="24" spans="2:22">
      <c r="B24" s="1" t="s">
        <v>39</v>
      </c>
    </row>
    <row r="25" spans="2:22">
      <c r="B25" s="1" t="s">
        <v>43</v>
      </c>
    </row>
    <row r="26" spans="2:22">
      <c r="B26" s="1" t="str">
        <f ca="1">CONCATENATE("!*** Date: ",YEAR(AH1),"-",MONTH(AH1),"-",DAY(AH1)," ************************!")</f>
        <v>!*** Date: 2016-3-18 ************************!</v>
      </c>
    </row>
    <row r="27" spans="2:22">
      <c r="B27" s="1" t="s">
        <v>39</v>
      </c>
    </row>
    <row r="29" spans="2:22">
      <c r="B29" s="2" t="s">
        <v>6</v>
      </c>
    </row>
    <row r="30" spans="2:22" s="3" customFormat="1">
      <c r="B30" s="2" t="s">
        <v>8</v>
      </c>
      <c r="R30" s="6"/>
    </row>
    <row r="31" spans="2:22">
      <c r="B31" s="1" t="str">
        <f>CONCATENATE("ZEBF:MCC=724,MNC=05,LAC=",D7,",RAC=",C7,":NSEI=",CONCATENATE(Q7,"&amp;",Q9,"&amp;",Q11,"&amp;",Q13,"&amp;",Q15,"&amp;",Q17,"&amp;",Q19,"&amp;",Q21),";")</f>
        <v>ZEBF:MCC=724,MNC=05,LAC=1261,RAC=1:NSEI=9250&amp;9251&amp;9252&amp;9253&amp;&amp;&amp;&amp;;</v>
      </c>
    </row>
    <row r="33" spans="2:18">
      <c r="B33" s="2" t="s">
        <v>6</v>
      </c>
    </row>
    <row r="34" spans="2:18" s="3" customFormat="1">
      <c r="B34" s="2" t="s">
        <v>9</v>
      </c>
      <c r="R34" s="6"/>
    </row>
    <row r="35" spans="2:18" s="3" customFormat="1">
      <c r="B35" s="4" t="str">
        <f t="shared" ref="B35:B50" si="0">IF(E7="","",CONCATENATE("ZFUC:",H7,",",I7,":",K7/64,":",L7,",",N7,":BCSU,",E7,",",F7,";"))</f>
        <v>ZFUC:0,TO34_1PRI:8:123,1:BCSU,1,4;</v>
      </c>
      <c r="J35" s="4"/>
      <c r="R35" s="6"/>
    </row>
    <row r="36" spans="2:18" s="3" customFormat="1">
      <c r="B36" s="4" t="str">
        <f t="shared" si="0"/>
        <v>ZFUC:1,TO34_1SEC:8:381,1:BCSU,1,4;</v>
      </c>
      <c r="J36" s="4"/>
      <c r="R36" s="6"/>
    </row>
    <row r="37" spans="2:18" s="3" customFormat="1">
      <c r="B37" s="4" t="str">
        <f t="shared" si="0"/>
        <v>ZFUC:2,TO34_2PRI:8:123,9:BCSU,2,4;</v>
      </c>
      <c r="J37" s="4"/>
      <c r="R37" s="6"/>
    </row>
    <row r="38" spans="2:18" s="3" customFormat="1">
      <c r="B38" s="4" t="str">
        <f t="shared" si="0"/>
        <v>ZFUC:3,TO34_2SEC:8:381,9:BCSU,2,4;</v>
      </c>
      <c r="J38" s="4"/>
      <c r="R38" s="6"/>
    </row>
    <row r="39" spans="2:18" s="3" customFormat="1">
      <c r="B39" s="4" t="str">
        <f t="shared" si="0"/>
        <v>ZFUC:4,TO34_3PRI:8:123,17:BCSU,1,6;</v>
      </c>
      <c r="J39" s="4"/>
      <c r="R39" s="6"/>
    </row>
    <row r="40" spans="2:18" s="3" customFormat="1">
      <c r="B40" s="4" t="str">
        <f t="shared" si="0"/>
        <v>ZFUC:5,TO34_3SEC:8:381,17:BCSU,1,6;</v>
      </c>
      <c r="J40" s="4"/>
      <c r="R40" s="6"/>
    </row>
    <row r="41" spans="2:18" s="3" customFormat="1">
      <c r="B41" s="4" t="str">
        <f t="shared" si="0"/>
        <v>ZFUC:6,TO34_4PRI:7:123,25:BCSU,2,6;</v>
      </c>
      <c r="J41" s="4"/>
      <c r="R41" s="6"/>
    </row>
    <row r="42" spans="2:18" s="3" customFormat="1">
      <c r="B42" s="4" t="str">
        <f t="shared" si="0"/>
        <v>ZFUC:7,TO34_4SEC:7:381,25:BCSU,2,6;</v>
      </c>
      <c r="J42" s="4"/>
      <c r="R42" s="6"/>
    </row>
    <row r="43" spans="2:18" s="3" customFormat="1">
      <c r="B43" s="4" t="str">
        <f t="shared" si="0"/>
        <v/>
      </c>
      <c r="J43" s="4"/>
      <c r="R43" s="6"/>
    </row>
    <row r="44" spans="2:18" s="3" customFormat="1">
      <c r="B44" s="4" t="str">
        <f t="shared" si="0"/>
        <v/>
      </c>
      <c r="J44" s="4"/>
      <c r="R44" s="6"/>
    </row>
    <row r="45" spans="2:18" s="3" customFormat="1">
      <c r="B45" s="4" t="str">
        <f t="shared" si="0"/>
        <v/>
      </c>
      <c r="J45" s="4"/>
      <c r="R45" s="6"/>
    </row>
    <row r="46" spans="2:18" s="3" customFormat="1">
      <c r="B46" s="4" t="str">
        <f t="shared" si="0"/>
        <v/>
      </c>
      <c r="J46" s="4"/>
      <c r="R46" s="6"/>
    </row>
    <row r="47" spans="2:18" s="3" customFormat="1">
      <c r="B47" s="4" t="str">
        <f t="shared" si="0"/>
        <v/>
      </c>
      <c r="J47" s="4"/>
      <c r="R47" s="6"/>
    </row>
    <row r="48" spans="2:18" s="3" customFormat="1">
      <c r="B48" s="4" t="str">
        <f t="shared" si="0"/>
        <v/>
      </c>
      <c r="J48" s="4"/>
      <c r="R48" s="6"/>
    </row>
    <row r="49" spans="2:18" s="3" customFormat="1">
      <c r="B49" s="4" t="str">
        <f t="shared" si="0"/>
        <v/>
      </c>
      <c r="J49" s="4"/>
      <c r="R49" s="6"/>
    </row>
    <row r="50" spans="2:18" s="3" customFormat="1">
      <c r="B50" s="4" t="str">
        <f t="shared" si="0"/>
        <v/>
      </c>
      <c r="J50" s="4"/>
      <c r="R50" s="6"/>
    </row>
    <row r="51" spans="2:18" s="3" customFormat="1">
      <c r="B51" s="4"/>
      <c r="R51" s="6"/>
    </row>
    <row r="52" spans="2:18">
      <c r="B52" s="2" t="s">
        <v>6</v>
      </c>
    </row>
    <row r="53" spans="2:18" s="3" customFormat="1">
      <c r="B53" s="2" t="s">
        <v>7</v>
      </c>
      <c r="R53" s="6"/>
    </row>
    <row r="54" spans="2:18" s="3" customFormat="1">
      <c r="B54" s="4" t="str">
        <f>IF(E7="","",CONCATENATE("ZFXC:NSVCI=",R7,",NAME=",S7,",NSEI=",Q7,":DLCI=",T7,",CIR=",K7,":BCN=",S8,";"))</f>
        <v>ZFXC:NSVCI=700,NAME=TO34_1PRI,NSEI=9250:DLCI=700,CIR=512:BCN=TO34_1SEC;</v>
      </c>
      <c r="R54" s="6"/>
    </row>
    <row r="55" spans="2:18">
      <c r="B55" s="4" t="str">
        <f>IF(E8="","",CONCATENATE("ZFXC:NSVCI=",R8,",NAME=",S8,",NSEI=",Q8,":DLCI=",T8,",CIR=",K8,":BCN=",S7,";"))</f>
        <v>ZFXC:NSVCI=701,NAME=TO34_1SEC,NSEI=9250:DLCI=701,CIR=512:BCN=TO34_1PRI;</v>
      </c>
    </row>
    <row r="56" spans="2:18">
      <c r="B56" s="4" t="str">
        <f>IF(E9="","",CONCATENATE("ZFXC:NSVCI=",R9,",NAME=",S9,",NSEI=",Q9,":DLCI=",T9,",CIR=",K9,":BCN=",S10,";"))</f>
        <v>ZFXC:NSVCI=702,NAME=TO34_2PRI,NSEI=9251:DLCI=702,CIR=512:BCN=TO34_2SEC;</v>
      </c>
    </row>
    <row r="57" spans="2:18">
      <c r="B57" s="4" t="str">
        <f>IF(E10="","",CONCATENATE("ZFXC:NSVCI=",R10,",NAME=",S10,",NSEI=",Q10,":DLCI=",T10,",CIR=",K10,":BCN=",S9,";"))</f>
        <v>ZFXC:NSVCI=703,NAME=TO34_2SEC,NSEI=9251:DLCI=703,CIR=512:BCN=TO34_2PRI;</v>
      </c>
    </row>
    <row r="58" spans="2:18">
      <c r="B58" s="4" t="str">
        <f>IF(E11="","",CONCATENATE("ZFXC:NSVCI=",R11,",NAME=",S11,",NSEI=",Q11,":DLCI=",T11,",CIR=",K11,":BCN=",S12,";"))</f>
        <v>ZFXC:NSVCI=704,NAME=TO34_3PRI,NSEI=9252:DLCI=704,CIR=512:BCN=TO34_3SEC;</v>
      </c>
    </row>
    <row r="59" spans="2:18">
      <c r="B59" s="4" t="str">
        <f>IF(E12="","",CONCATENATE("ZFXC:NSVCI=",R12,",NAME=",S12,",NSEI=",Q12,":DLCI=",T12,",CIR=",K12,":BCN=",S11,";"))</f>
        <v>ZFXC:NSVCI=705,NAME=TO34_3SEC,NSEI=9252:DLCI=705,CIR=512:BCN=TO34_3PRI;</v>
      </c>
    </row>
    <row r="60" spans="2:18">
      <c r="B60" s="4" t="str">
        <f>IF(E13="","",CONCATENATE("ZFXC:NSVCI=",R13,",NAME=",S13,",NSEI=",Q13,":DLCI=",T13,",CIR=",K13,":BCN=",S14,";"))</f>
        <v>ZFXC:NSVCI=706,NAME=TO34_4PRI,NSEI=9253:DLCI=706,CIR=448:BCN=TO34_4SEC;</v>
      </c>
    </row>
    <row r="61" spans="2:18">
      <c r="B61" s="4" t="str">
        <f>IF(E14="","",CONCATENATE("ZFXC:NSVCI=",R14,",NAME=",S14,",NSEI=",Q14,":DLCI=",T14,",CIR=",K14,":BCN=",S13,";"))</f>
        <v>ZFXC:NSVCI=707,NAME=TO34_4SEC,NSEI=9253:DLCI=707,CIR=448:BCN=TO34_4PRI;</v>
      </c>
    </row>
    <row r="62" spans="2:18">
      <c r="B62" s="4" t="str">
        <f>IF(E15="","",CONCATENATE("ZFXC:NSVCI=",R15,",NAME=",S15,",NSEI=",Q15,":DLCI=",T15,",CIR=",K15,":BCN=",S16,";"))</f>
        <v/>
      </c>
    </row>
    <row r="63" spans="2:18">
      <c r="B63" s="4" t="str">
        <f>IF(E16="","",CONCATENATE("ZFXC:NSVCI=",R16,",NAME=",S16,",NSEI=",Q16,":DLCI=",T16,",CIR=",K16,":BCN=",S15,";"))</f>
        <v/>
      </c>
    </row>
    <row r="64" spans="2:18">
      <c r="B64" s="4" t="str">
        <f>IF(E17="","",CONCATENATE("ZFXC:NSVCI=",R17,",NAME=",S17,",NSEI=",Q17,":DLCI=",T17,",CIR=",K17,":BCN=",S18,";"))</f>
        <v/>
      </c>
    </row>
    <row r="65" spans="2:18">
      <c r="B65" s="4" t="str">
        <f>IF(E18="","",CONCATENATE("ZFXC:NSVCI=",R18,",NAME=",S18,",NSEI=",Q18,":DLCI=",T18,",CIR=",K18,":BCN=",S17,";"))</f>
        <v/>
      </c>
    </row>
    <row r="66" spans="2:18">
      <c r="B66" s="4" t="str">
        <f>IF(E19="","",CONCATENATE("ZFXC:NSVCI=",R19,",NAME=",S19,",NSEI=",Q19,":DLCI=",T19,",CIR=",K19,":BCN=",S20,";"))</f>
        <v/>
      </c>
    </row>
    <row r="67" spans="2:18">
      <c r="B67" s="4" t="str">
        <f>IF(E20="","",CONCATENATE("ZFXC:NSVCI=",R20,",NAME=",S20,",NSEI=",Q20,":DLCI=",T20,",CIR=",K20,":BCN=",S19,";"))</f>
        <v/>
      </c>
    </row>
    <row r="68" spans="2:18">
      <c r="B68" s="4" t="str">
        <f>IF(E21="","",CONCATENATE("ZFXC:NSVCI=",R21,",NAME=",S21,",NSEI=",Q21,":DLCI=",T21,",CIR=",K21,":BCN=",S22,";"))</f>
        <v/>
      </c>
    </row>
    <row r="69" spans="2:18">
      <c r="B69" s="4" t="str">
        <f>IF(E22="","",CONCATENATE("ZFXC:NSVCI=",R22,",NAME=",S22,",NSEI=",Q22,":DLCI=",T22,",CIR=",K22,":BCN=",S21,";"))</f>
        <v/>
      </c>
    </row>
    <row r="71" spans="2:18">
      <c r="B71" s="2" t="s">
        <v>6</v>
      </c>
    </row>
    <row r="72" spans="2:18" s="3" customFormat="1">
      <c r="B72" s="2" t="s">
        <v>10</v>
      </c>
      <c r="R72" s="6"/>
    </row>
    <row r="73" spans="2:18">
      <c r="B73" s="1" t="str">
        <f t="shared" ref="B73:B88" si="1">IF(E7="","",CONCATENATE("ZFXS:NSVCI=",R7,":U;"))</f>
        <v>ZFXS:NSVCI=700:U;</v>
      </c>
    </row>
    <row r="74" spans="2:18">
      <c r="B74" s="1" t="str">
        <f t="shared" si="1"/>
        <v>ZFXS:NSVCI=701:U;</v>
      </c>
    </row>
    <row r="75" spans="2:18">
      <c r="B75" s="1" t="str">
        <f t="shared" si="1"/>
        <v>ZFXS:NSVCI=702:U;</v>
      </c>
    </row>
    <row r="76" spans="2:18">
      <c r="B76" s="1" t="str">
        <f t="shared" si="1"/>
        <v>ZFXS:NSVCI=703:U;</v>
      </c>
    </row>
    <row r="77" spans="2:18">
      <c r="B77" s="1" t="str">
        <f t="shared" si="1"/>
        <v>ZFXS:NSVCI=704:U;</v>
      </c>
    </row>
    <row r="78" spans="2:18">
      <c r="B78" s="1" t="str">
        <f t="shared" si="1"/>
        <v>ZFXS:NSVCI=705:U;</v>
      </c>
    </row>
    <row r="79" spans="2:18">
      <c r="B79" s="1" t="str">
        <f t="shared" si="1"/>
        <v>ZFXS:NSVCI=706:U;</v>
      </c>
    </row>
    <row r="80" spans="2:18">
      <c r="B80" s="1" t="str">
        <f t="shared" si="1"/>
        <v>ZFXS:NSVCI=707:U;</v>
      </c>
    </row>
    <row r="81" spans="2:18">
      <c r="B81" s="1" t="str">
        <f t="shared" si="1"/>
        <v/>
      </c>
    </row>
    <row r="82" spans="2:18">
      <c r="B82" s="1" t="str">
        <f t="shared" si="1"/>
        <v/>
      </c>
    </row>
    <row r="83" spans="2:18">
      <c r="B83" s="1" t="str">
        <f t="shared" si="1"/>
        <v/>
      </c>
    </row>
    <row r="84" spans="2:18">
      <c r="B84" s="1" t="str">
        <f t="shared" si="1"/>
        <v/>
      </c>
    </row>
    <row r="85" spans="2:18">
      <c r="B85" s="1" t="str">
        <f t="shared" si="1"/>
        <v/>
      </c>
    </row>
    <row r="86" spans="2:18">
      <c r="B86" s="1" t="str">
        <f t="shared" si="1"/>
        <v/>
      </c>
    </row>
    <row r="87" spans="2:18">
      <c r="B87" s="1" t="str">
        <f t="shared" si="1"/>
        <v/>
      </c>
    </row>
    <row r="88" spans="2:18">
      <c r="B88" s="1" t="str">
        <f t="shared" si="1"/>
        <v/>
      </c>
    </row>
    <row r="90" spans="2:18">
      <c r="B90" s="2" t="s">
        <v>6</v>
      </c>
    </row>
    <row r="91" spans="2:18" s="3" customFormat="1">
      <c r="B91" s="2" t="s">
        <v>11</v>
      </c>
      <c r="R91" s="6"/>
    </row>
    <row r="92" spans="2:18">
      <c r="B92" s="1" t="str">
        <f t="shared" ref="B92:B107" si="2">IF(E7="","",CONCATENATE("ZFXR:NSEI=",Q7,";"))</f>
        <v>ZFXR:NSEI=9250;</v>
      </c>
    </row>
    <row r="93" spans="2:18">
      <c r="B93" s="1" t="str">
        <f t="shared" si="2"/>
        <v>ZFXR:NSEI=9250;</v>
      </c>
    </row>
    <row r="94" spans="2:18">
      <c r="B94" s="1" t="str">
        <f t="shared" si="2"/>
        <v>ZFXR:NSEI=9251;</v>
      </c>
    </row>
    <row r="95" spans="2:18">
      <c r="B95" s="1" t="str">
        <f t="shared" si="2"/>
        <v>ZFXR:NSEI=9251;</v>
      </c>
    </row>
    <row r="96" spans="2:18">
      <c r="B96" s="1" t="str">
        <f t="shared" si="2"/>
        <v>ZFXR:NSEI=9252;</v>
      </c>
    </row>
    <row r="97" spans="2:2">
      <c r="B97" s="1" t="str">
        <f t="shared" si="2"/>
        <v>ZFXR:NSEI=9252;</v>
      </c>
    </row>
    <row r="98" spans="2:2">
      <c r="B98" s="1" t="str">
        <f t="shared" si="2"/>
        <v>ZFXR:NSEI=9253;</v>
      </c>
    </row>
    <row r="99" spans="2:2">
      <c r="B99" s="1" t="str">
        <f t="shared" si="2"/>
        <v>ZFXR:NSEI=9253;</v>
      </c>
    </row>
    <row r="100" spans="2:2">
      <c r="B100" s="1" t="str">
        <f t="shared" si="2"/>
        <v/>
      </c>
    </row>
    <row r="101" spans="2:2">
      <c r="B101" s="1" t="str">
        <f t="shared" si="2"/>
        <v/>
      </c>
    </row>
    <row r="102" spans="2:2">
      <c r="B102" s="1" t="str">
        <f t="shared" si="2"/>
        <v/>
      </c>
    </row>
    <row r="103" spans="2:2">
      <c r="B103" s="1" t="str">
        <f t="shared" si="2"/>
        <v/>
      </c>
    </row>
    <row r="104" spans="2:2">
      <c r="B104" s="1" t="str">
        <f t="shared" si="2"/>
        <v/>
      </c>
    </row>
    <row r="105" spans="2:2">
      <c r="B105" s="1" t="str">
        <f t="shared" si="2"/>
        <v/>
      </c>
    </row>
    <row r="106" spans="2:2">
      <c r="B106" s="1" t="str">
        <f t="shared" si="2"/>
        <v/>
      </c>
    </row>
    <row r="107" spans="2:2">
      <c r="B107" s="1" t="str">
        <f t="shared" si="2"/>
        <v/>
      </c>
    </row>
    <row r="109" spans="2:2">
      <c r="B109" s="2" t="s">
        <v>6</v>
      </c>
    </row>
  </sheetData>
  <mergeCells count="12">
    <mergeCell ref="M5:P5"/>
    <mergeCell ref="Q5:Q6"/>
    <mergeCell ref="R5:U5"/>
    <mergeCell ref="V5:V6"/>
    <mergeCell ref="B2:V2"/>
    <mergeCell ref="B4:V4"/>
    <mergeCell ref="B5:B6"/>
    <mergeCell ref="C5:C6"/>
    <mergeCell ref="D5:D6"/>
    <mergeCell ref="E5:E6"/>
    <mergeCell ref="F5:F6"/>
    <mergeCell ref="G5:L5"/>
  </mergeCells>
  <pageMargins left="0.7" right="0.7" top="0.75" bottom="0.75" header="0.3" footer="0.3"/>
  <pageSetup paperSize="9" orientation="portrait" horizontalDpi="1200" verticalDpi="1200" r:id="rId1"/>
  <ignoredErrors>
    <ignoredError sqref="B55:G68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R130"/>
  <sheetViews>
    <sheetView showGridLines="0" zoomScale="70" zoomScaleNormal="70" zoomScaleSheetLayoutView="100" workbookViewId="0">
      <selection activeCell="B29" sqref="B29"/>
    </sheetView>
  </sheetViews>
  <sheetFormatPr defaultColWidth="11.42578125" defaultRowHeight="15"/>
  <cols>
    <col min="1" max="1" width="2.5703125" style="7" customWidth="1"/>
    <col min="2" max="2" width="11.42578125" style="7" customWidth="1"/>
    <col min="3" max="3" width="14.85546875" style="8" bestFit="1" customWidth="1"/>
    <col min="4" max="4" width="11" style="7" bestFit="1" customWidth="1"/>
    <col min="5" max="5" width="13.28515625" style="7" customWidth="1"/>
    <col min="6" max="6" width="19.28515625" style="7" bestFit="1" customWidth="1"/>
    <col min="7" max="7" width="20.7109375" style="7" bestFit="1" customWidth="1"/>
    <col min="8" max="8" width="15.5703125" style="7" bestFit="1" customWidth="1"/>
    <col min="9" max="9" width="12.42578125" style="7" bestFit="1" customWidth="1"/>
    <col min="10" max="10" width="20.5703125" style="7" bestFit="1" customWidth="1"/>
    <col min="11" max="11" width="23.42578125" style="7" bestFit="1" customWidth="1"/>
    <col min="12" max="12" width="20.85546875" style="7" bestFit="1" customWidth="1"/>
    <col min="13" max="14" width="16.7109375" style="7" bestFit="1" customWidth="1"/>
    <col min="15" max="15" width="15.85546875" style="7" customWidth="1"/>
    <col min="16" max="16" width="15.42578125" style="7" customWidth="1"/>
    <col min="17" max="17" width="12.7109375" style="7" bestFit="1" customWidth="1"/>
    <col min="18" max="18" width="10.7109375" style="7" bestFit="1" customWidth="1"/>
    <col min="19" max="16384" width="11.42578125" style="7"/>
  </cols>
  <sheetData>
    <row r="1" spans="2:18" ht="15.75" thickBot="1">
      <c r="R1" s="28">
        <f ca="1">TODAY()</f>
        <v>42447</v>
      </c>
    </row>
    <row r="2" spans="2:18" ht="18.75" thickBot="1">
      <c r="B2" s="174" t="s">
        <v>12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6"/>
    </row>
    <row r="3" spans="2:18" ht="16.5" thickBot="1">
      <c r="B3" s="9"/>
      <c r="C3" s="10"/>
      <c r="D3" s="10"/>
      <c r="E3" s="10"/>
      <c r="F3" s="10"/>
      <c r="G3" s="10"/>
      <c r="H3" s="10"/>
      <c r="I3" s="10"/>
      <c r="J3" s="10"/>
      <c r="K3" s="11"/>
      <c r="L3" s="11"/>
      <c r="M3" s="11"/>
      <c r="N3" s="11"/>
      <c r="O3" s="11"/>
    </row>
    <row r="4" spans="2:18">
      <c r="B4" s="177" t="s">
        <v>13</v>
      </c>
      <c r="C4" s="179" t="s">
        <v>14</v>
      </c>
      <c r="D4" s="181" t="s">
        <v>2</v>
      </c>
      <c r="E4" s="181"/>
      <c r="F4" s="181"/>
      <c r="G4" s="181"/>
      <c r="H4" s="181"/>
      <c r="I4" s="12"/>
      <c r="J4" s="12"/>
      <c r="K4" s="12"/>
      <c r="L4" s="182"/>
      <c r="M4" s="183"/>
      <c r="N4" s="183"/>
      <c r="O4" s="183"/>
      <c r="P4" s="184"/>
    </row>
    <row r="5" spans="2:18" ht="15.75" thickBot="1">
      <c r="B5" s="178"/>
      <c r="C5" s="180"/>
      <c r="D5" s="13" t="s">
        <v>15</v>
      </c>
      <c r="E5" s="13" t="s">
        <v>16</v>
      </c>
      <c r="F5" s="13" t="s">
        <v>17</v>
      </c>
      <c r="G5" s="13" t="s">
        <v>18</v>
      </c>
      <c r="H5" s="13" t="s">
        <v>19</v>
      </c>
      <c r="I5" s="13" t="s">
        <v>20</v>
      </c>
      <c r="J5" s="13" t="s">
        <v>20</v>
      </c>
      <c r="K5" s="13" t="s">
        <v>21</v>
      </c>
      <c r="L5" s="13" t="s">
        <v>22</v>
      </c>
      <c r="M5" s="13" t="s">
        <v>23</v>
      </c>
      <c r="N5" s="13" t="s">
        <v>24</v>
      </c>
      <c r="O5" s="14" t="s">
        <v>25</v>
      </c>
      <c r="P5" s="15" t="s">
        <v>26</v>
      </c>
    </row>
    <row r="6" spans="2:18">
      <c r="B6" s="32" t="s">
        <v>44</v>
      </c>
      <c r="C6" s="33" t="s">
        <v>45</v>
      </c>
      <c r="D6" s="33" t="s">
        <v>46</v>
      </c>
      <c r="E6" s="34">
        <v>5850</v>
      </c>
      <c r="F6" s="34">
        <v>1250</v>
      </c>
      <c r="G6" s="35" t="s">
        <v>47</v>
      </c>
      <c r="H6" s="33">
        <v>1</v>
      </c>
      <c r="I6" s="36">
        <v>4</v>
      </c>
      <c r="J6" s="36">
        <v>1</v>
      </c>
      <c r="K6" s="33" t="s">
        <v>59</v>
      </c>
      <c r="L6" s="37" t="s">
        <v>71</v>
      </c>
      <c r="M6" s="33">
        <v>50000</v>
      </c>
      <c r="N6" s="37">
        <v>50250</v>
      </c>
      <c r="O6" s="33">
        <v>50</v>
      </c>
      <c r="P6" s="38">
        <v>50</v>
      </c>
    </row>
    <row r="7" spans="2:18">
      <c r="B7" s="39" t="s">
        <v>44</v>
      </c>
      <c r="C7" s="40" t="s">
        <v>45</v>
      </c>
      <c r="D7" s="40" t="s">
        <v>46</v>
      </c>
      <c r="E7" s="41">
        <v>5851</v>
      </c>
      <c r="F7" s="41">
        <v>1251</v>
      </c>
      <c r="G7" s="42" t="s">
        <v>48</v>
      </c>
      <c r="H7" s="40">
        <v>1</v>
      </c>
      <c r="I7" s="43">
        <v>6</v>
      </c>
      <c r="J7" s="43">
        <v>2</v>
      </c>
      <c r="K7" s="40" t="s">
        <v>60</v>
      </c>
      <c r="L7" s="44" t="s">
        <v>72</v>
      </c>
      <c r="M7" s="40">
        <v>50000</v>
      </c>
      <c r="N7" s="44">
        <v>50251</v>
      </c>
      <c r="O7" s="40">
        <v>50</v>
      </c>
      <c r="P7" s="45">
        <v>50</v>
      </c>
    </row>
    <row r="8" spans="2:18">
      <c r="B8" s="39" t="s">
        <v>44</v>
      </c>
      <c r="C8" s="40" t="s">
        <v>45</v>
      </c>
      <c r="D8" s="40" t="s">
        <v>46</v>
      </c>
      <c r="E8" s="41">
        <v>5852</v>
      </c>
      <c r="F8" s="41">
        <v>1252</v>
      </c>
      <c r="G8" s="42" t="s">
        <v>49</v>
      </c>
      <c r="H8" s="40">
        <v>1</v>
      </c>
      <c r="I8" s="43">
        <v>8</v>
      </c>
      <c r="J8" s="43">
        <v>3</v>
      </c>
      <c r="K8" s="40" t="s">
        <v>61</v>
      </c>
      <c r="L8" s="44" t="s">
        <v>73</v>
      </c>
      <c r="M8" s="40">
        <v>50000</v>
      </c>
      <c r="N8" s="44">
        <v>50252</v>
      </c>
      <c r="O8" s="40">
        <v>50</v>
      </c>
      <c r="P8" s="45">
        <v>50</v>
      </c>
    </row>
    <row r="9" spans="2:18">
      <c r="B9" s="39" t="s">
        <v>44</v>
      </c>
      <c r="C9" s="40" t="s">
        <v>45</v>
      </c>
      <c r="D9" s="40" t="s">
        <v>46</v>
      </c>
      <c r="E9" s="41">
        <v>5853</v>
      </c>
      <c r="F9" s="41">
        <v>1253</v>
      </c>
      <c r="G9" s="42" t="s">
        <v>50</v>
      </c>
      <c r="H9" s="40">
        <v>2</v>
      </c>
      <c r="I9" s="43">
        <v>4</v>
      </c>
      <c r="J9" s="43">
        <v>4</v>
      </c>
      <c r="K9" s="40" t="s">
        <v>62</v>
      </c>
      <c r="L9" s="44" t="s">
        <v>71</v>
      </c>
      <c r="M9" s="40">
        <v>50000</v>
      </c>
      <c r="N9" s="44">
        <v>50253</v>
      </c>
      <c r="O9" s="40">
        <v>50</v>
      </c>
      <c r="P9" s="45">
        <v>50</v>
      </c>
    </row>
    <row r="10" spans="2:18">
      <c r="B10" s="46" t="s">
        <v>44</v>
      </c>
      <c r="C10" s="47" t="s">
        <v>45</v>
      </c>
      <c r="D10" s="40" t="s">
        <v>46</v>
      </c>
      <c r="E10" s="41">
        <v>5854</v>
      </c>
      <c r="F10" s="41">
        <v>1254</v>
      </c>
      <c r="G10" s="42" t="s">
        <v>51</v>
      </c>
      <c r="H10" s="40">
        <v>2</v>
      </c>
      <c r="I10" s="43">
        <v>6</v>
      </c>
      <c r="J10" s="43">
        <v>5</v>
      </c>
      <c r="K10" s="40" t="s">
        <v>63</v>
      </c>
      <c r="L10" s="44" t="s">
        <v>72</v>
      </c>
      <c r="M10" s="47">
        <v>50000</v>
      </c>
      <c r="N10" s="44">
        <v>50254</v>
      </c>
      <c r="O10" s="47">
        <v>50</v>
      </c>
      <c r="P10" s="48">
        <v>50</v>
      </c>
    </row>
    <row r="11" spans="2:18">
      <c r="B11" s="46" t="s">
        <v>44</v>
      </c>
      <c r="C11" s="47" t="s">
        <v>45</v>
      </c>
      <c r="D11" s="40" t="s">
        <v>46</v>
      </c>
      <c r="E11" s="41">
        <v>5855</v>
      </c>
      <c r="F11" s="41">
        <v>1255</v>
      </c>
      <c r="G11" s="42" t="s">
        <v>52</v>
      </c>
      <c r="H11" s="40">
        <v>2</v>
      </c>
      <c r="I11" s="43">
        <v>8</v>
      </c>
      <c r="J11" s="43">
        <v>6</v>
      </c>
      <c r="K11" s="40" t="s">
        <v>64</v>
      </c>
      <c r="L11" s="44" t="s">
        <v>73</v>
      </c>
      <c r="M11" s="47">
        <v>50000</v>
      </c>
      <c r="N11" s="44">
        <v>50255</v>
      </c>
      <c r="O11" s="47">
        <v>50</v>
      </c>
      <c r="P11" s="48">
        <v>50</v>
      </c>
    </row>
    <row r="12" spans="2:18">
      <c r="B12" s="46" t="s">
        <v>44</v>
      </c>
      <c r="C12" s="47" t="s">
        <v>45</v>
      </c>
      <c r="D12" s="40" t="s">
        <v>46</v>
      </c>
      <c r="E12" s="41">
        <v>5856</v>
      </c>
      <c r="F12" s="41">
        <v>1256</v>
      </c>
      <c r="G12" s="42" t="s">
        <v>53</v>
      </c>
      <c r="H12" s="40">
        <v>3</v>
      </c>
      <c r="I12" s="43">
        <v>4</v>
      </c>
      <c r="J12" s="43">
        <v>7</v>
      </c>
      <c r="K12" s="40" t="s">
        <v>65</v>
      </c>
      <c r="L12" s="44" t="s">
        <v>71</v>
      </c>
      <c r="M12" s="47">
        <v>50000</v>
      </c>
      <c r="N12" s="44">
        <v>50256</v>
      </c>
      <c r="O12" s="47">
        <v>50</v>
      </c>
      <c r="P12" s="48">
        <v>50</v>
      </c>
    </row>
    <row r="13" spans="2:18">
      <c r="B13" s="46" t="s">
        <v>44</v>
      </c>
      <c r="C13" s="47" t="s">
        <v>45</v>
      </c>
      <c r="D13" s="40" t="s">
        <v>46</v>
      </c>
      <c r="E13" s="41">
        <v>5857</v>
      </c>
      <c r="F13" s="41">
        <v>1257</v>
      </c>
      <c r="G13" s="42" t="s">
        <v>54</v>
      </c>
      <c r="H13" s="40">
        <v>3</v>
      </c>
      <c r="I13" s="43">
        <v>6</v>
      </c>
      <c r="J13" s="43">
        <v>8</v>
      </c>
      <c r="K13" s="40" t="s">
        <v>66</v>
      </c>
      <c r="L13" s="44" t="s">
        <v>72</v>
      </c>
      <c r="M13" s="47">
        <v>50000</v>
      </c>
      <c r="N13" s="44">
        <v>50257</v>
      </c>
      <c r="O13" s="47">
        <v>50</v>
      </c>
      <c r="P13" s="48">
        <v>50</v>
      </c>
    </row>
    <row r="14" spans="2:18">
      <c r="B14" s="39" t="s">
        <v>44</v>
      </c>
      <c r="C14" s="40" t="s">
        <v>45</v>
      </c>
      <c r="D14" s="40" t="s">
        <v>46</v>
      </c>
      <c r="E14" s="41">
        <v>5859</v>
      </c>
      <c r="F14" s="41">
        <v>1259</v>
      </c>
      <c r="G14" s="42" t="s">
        <v>55</v>
      </c>
      <c r="H14" s="40">
        <v>4</v>
      </c>
      <c r="I14" s="43">
        <v>4</v>
      </c>
      <c r="J14" s="43">
        <v>10</v>
      </c>
      <c r="K14" s="40" t="s">
        <v>67</v>
      </c>
      <c r="L14" s="44" t="s">
        <v>71</v>
      </c>
      <c r="M14" s="40">
        <v>50000</v>
      </c>
      <c r="N14" s="44">
        <v>50259</v>
      </c>
      <c r="O14" s="40">
        <v>50</v>
      </c>
      <c r="P14" s="45">
        <v>50</v>
      </c>
    </row>
    <row r="15" spans="2:18">
      <c r="B15" s="39" t="s">
        <v>44</v>
      </c>
      <c r="C15" s="40" t="s">
        <v>45</v>
      </c>
      <c r="D15" s="40" t="s">
        <v>46</v>
      </c>
      <c r="E15" s="41">
        <v>5860</v>
      </c>
      <c r="F15" s="41">
        <v>1260</v>
      </c>
      <c r="G15" s="42" t="s">
        <v>56</v>
      </c>
      <c r="H15" s="40">
        <v>4</v>
      </c>
      <c r="I15" s="43">
        <v>6</v>
      </c>
      <c r="J15" s="43">
        <v>11</v>
      </c>
      <c r="K15" s="40" t="s">
        <v>68</v>
      </c>
      <c r="L15" s="44" t="s">
        <v>72</v>
      </c>
      <c r="M15" s="40">
        <v>50000</v>
      </c>
      <c r="N15" s="44">
        <v>50260</v>
      </c>
      <c r="O15" s="40">
        <v>50</v>
      </c>
      <c r="P15" s="45">
        <v>50</v>
      </c>
    </row>
    <row r="16" spans="2:18">
      <c r="B16" s="39" t="s">
        <v>44</v>
      </c>
      <c r="C16" s="40" t="s">
        <v>45</v>
      </c>
      <c r="D16" s="40" t="s">
        <v>46</v>
      </c>
      <c r="E16" s="41">
        <v>5862</v>
      </c>
      <c r="F16" s="41">
        <v>1262</v>
      </c>
      <c r="G16" s="42" t="s">
        <v>57</v>
      </c>
      <c r="H16" s="40">
        <v>5</v>
      </c>
      <c r="I16" s="43">
        <v>4</v>
      </c>
      <c r="J16" s="43">
        <v>13</v>
      </c>
      <c r="K16" s="40" t="s">
        <v>69</v>
      </c>
      <c r="L16" s="44" t="s">
        <v>71</v>
      </c>
      <c r="M16" s="40">
        <v>50000</v>
      </c>
      <c r="N16" s="44">
        <v>50262</v>
      </c>
      <c r="O16" s="40">
        <v>50</v>
      </c>
      <c r="P16" s="45">
        <v>50</v>
      </c>
    </row>
    <row r="17" spans="2:16">
      <c r="B17" s="39" t="s">
        <v>44</v>
      </c>
      <c r="C17" s="40" t="s">
        <v>45</v>
      </c>
      <c r="D17" s="40" t="s">
        <v>46</v>
      </c>
      <c r="E17" s="41">
        <v>5863</v>
      </c>
      <c r="F17" s="41">
        <v>1263</v>
      </c>
      <c r="G17" s="42" t="s">
        <v>58</v>
      </c>
      <c r="H17" s="40">
        <v>5</v>
      </c>
      <c r="I17" s="43">
        <v>6</v>
      </c>
      <c r="J17" s="43">
        <v>14</v>
      </c>
      <c r="K17" s="40" t="s">
        <v>70</v>
      </c>
      <c r="L17" s="44" t="s">
        <v>72</v>
      </c>
      <c r="M17" s="40">
        <v>50000</v>
      </c>
      <c r="N17" s="44">
        <v>50263</v>
      </c>
      <c r="O17" s="40">
        <v>50</v>
      </c>
      <c r="P17" s="45">
        <v>50</v>
      </c>
    </row>
    <row r="18" spans="2:16">
      <c r="B18" s="39"/>
      <c r="C18" s="40"/>
      <c r="D18" s="40"/>
      <c r="E18" s="41"/>
      <c r="F18" s="41"/>
      <c r="G18" s="42"/>
      <c r="H18" s="40"/>
      <c r="I18" s="43"/>
      <c r="J18" s="43"/>
      <c r="K18" s="40"/>
      <c r="L18" s="44"/>
      <c r="M18" s="40"/>
      <c r="N18" s="44"/>
      <c r="O18" s="40"/>
      <c r="P18" s="45"/>
    </row>
    <row r="19" spans="2:16">
      <c r="B19" s="39"/>
      <c r="C19" s="40"/>
      <c r="D19" s="40"/>
      <c r="E19" s="41"/>
      <c r="F19" s="41"/>
      <c r="G19" s="42"/>
      <c r="H19" s="40"/>
      <c r="I19" s="43"/>
      <c r="J19" s="43"/>
      <c r="K19" s="40"/>
      <c r="L19" s="44"/>
      <c r="M19" s="40"/>
      <c r="N19" s="44"/>
      <c r="O19" s="40"/>
      <c r="P19" s="45"/>
    </row>
    <row r="20" spans="2:16">
      <c r="B20" s="39"/>
      <c r="C20" s="40"/>
      <c r="D20" s="40"/>
      <c r="E20" s="41"/>
      <c r="F20" s="41"/>
      <c r="G20" s="42"/>
      <c r="H20" s="40"/>
      <c r="I20" s="43"/>
      <c r="J20" s="43"/>
      <c r="K20" s="40"/>
      <c r="L20" s="44"/>
      <c r="M20" s="40"/>
      <c r="N20" s="44"/>
      <c r="O20" s="40"/>
      <c r="P20" s="45"/>
    </row>
    <row r="21" spans="2:16" ht="15.75" thickBot="1">
      <c r="B21" s="49"/>
      <c r="C21" s="50"/>
      <c r="D21" s="50"/>
      <c r="E21" s="51"/>
      <c r="F21" s="51"/>
      <c r="G21" s="52"/>
      <c r="H21" s="50"/>
      <c r="I21" s="53"/>
      <c r="J21" s="53"/>
      <c r="K21" s="50"/>
      <c r="L21" s="54"/>
      <c r="M21" s="50"/>
      <c r="N21" s="54"/>
      <c r="O21" s="50"/>
      <c r="P21" s="55"/>
    </row>
    <row r="22" spans="2:16">
      <c r="B22" s="16"/>
      <c r="C22" s="17"/>
      <c r="D22" s="17"/>
      <c r="E22" s="17"/>
      <c r="F22" s="17"/>
      <c r="G22" s="17"/>
      <c r="H22" s="17"/>
      <c r="I22" s="18"/>
      <c r="J22" s="18"/>
      <c r="K22" s="17"/>
      <c r="L22" s="17"/>
      <c r="M22" s="17"/>
      <c r="N22" s="17"/>
      <c r="O22" s="17"/>
      <c r="P22" s="17"/>
    </row>
    <row r="23" spans="2:16">
      <c r="B23" s="27" t="s">
        <v>41</v>
      </c>
      <c r="C23" s="17"/>
      <c r="D23" s="17"/>
      <c r="E23" s="17"/>
      <c r="F23" s="17"/>
      <c r="G23" s="17"/>
      <c r="H23" s="17"/>
      <c r="I23" s="18"/>
      <c r="J23" s="18"/>
      <c r="K23" s="17"/>
      <c r="L23" s="17"/>
      <c r="M23" s="17"/>
      <c r="N23" s="17"/>
      <c r="O23" s="17"/>
      <c r="P23" s="17"/>
    </row>
    <row r="24" spans="2:16">
      <c r="B24" s="27" t="s">
        <v>42</v>
      </c>
      <c r="C24" s="17"/>
      <c r="D24" s="17"/>
      <c r="E24" s="17"/>
      <c r="F24" s="17"/>
      <c r="G24" s="17"/>
      <c r="H24" s="17"/>
      <c r="I24" s="18"/>
      <c r="J24" s="18"/>
      <c r="K24" s="17"/>
      <c r="L24" s="17"/>
      <c r="M24" s="17"/>
      <c r="N24" s="17"/>
      <c r="O24" s="17"/>
      <c r="P24" s="17"/>
    </row>
    <row r="25" spans="2:16" ht="15.75" thickBot="1">
      <c r="B25" s="7" t="str">
        <f ca="1">CONCATENATE("!*** Date: ",YEAR(R1),"-",MONTH(R1),"-",DAY(R1)," *************************!")</f>
        <v>!*** Date: 2016-3-18 *************************!</v>
      </c>
      <c r="C25" s="17"/>
      <c r="D25" s="17"/>
      <c r="E25" s="17"/>
      <c r="F25" s="17"/>
      <c r="G25" s="17"/>
      <c r="H25" s="17"/>
      <c r="I25" s="18"/>
      <c r="J25" s="18"/>
      <c r="K25" s="17"/>
      <c r="L25" s="17"/>
      <c r="M25" s="17"/>
      <c r="N25" s="17"/>
      <c r="O25" s="17"/>
      <c r="P25" s="17"/>
    </row>
    <row r="26" spans="2:16">
      <c r="B26" s="27" t="s">
        <v>40</v>
      </c>
      <c r="J26" s="19" t="s">
        <v>27</v>
      </c>
      <c r="K26" s="29">
        <v>316</v>
      </c>
    </row>
    <row r="27" spans="2:16">
      <c r="J27" s="21" t="s">
        <v>28</v>
      </c>
      <c r="K27" s="30" t="s">
        <v>74</v>
      </c>
    </row>
    <row r="28" spans="2:16" ht="15.75" thickBot="1">
      <c r="B28" s="7" t="s">
        <v>38</v>
      </c>
      <c r="J28" s="23" t="s">
        <v>29</v>
      </c>
      <c r="K28" s="31">
        <v>255255255224</v>
      </c>
    </row>
    <row r="29" spans="2:16" ht="15.75" thickBot="1">
      <c r="B29" s="7" t="s">
        <v>30</v>
      </c>
    </row>
    <row r="30" spans="2:16">
      <c r="B30" s="7" t="str">
        <f t="shared" ref="B30:B45" si="0">IF(H6="","",CONCATENATE("ZQRN:BCSU,"&amp;H6&amp;":PCU2D,"&amp;I6&amp;":IFETH0:"&amp;K6&amp;",L,:25:UP:1500;"))</f>
        <v>ZQRN:BCSU,1:PCU2D,4:IFETH0:10.173.33.164,L,:25:UP:1500;</v>
      </c>
      <c r="J30" s="19" t="s">
        <v>35</v>
      </c>
      <c r="K30" s="20">
        <v>724</v>
      </c>
    </row>
    <row r="31" spans="2:16">
      <c r="B31" s="7" t="str">
        <f t="shared" si="0"/>
        <v>ZQRN:BCSU,1:PCU2D,6:IFETH0:10.173.33.165,L,:25:UP:1500;</v>
      </c>
      <c r="J31" s="21" t="s">
        <v>36</v>
      </c>
      <c r="K31" s="26" t="s">
        <v>37</v>
      </c>
    </row>
    <row r="32" spans="2:16">
      <c r="B32" s="7" t="str">
        <f t="shared" si="0"/>
        <v>ZQRN:BCSU,1:PCU2D,8:IFETH0:10.173.33.166,L,:25:UP:1500;</v>
      </c>
      <c r="J32" s="21" t="s">
        <v>1</v>
      </c>
      <c r="K32" s="22">
        <v>771</v>
      </c>
    </row>
    <row r="33" spans="2:16" ht="15.75" thickBot="1">
      <c r="B33" s="7" t="str">
        <f t="shared" si="0"/>
        <v>ZQRN:BCSU,2:PCU2D,4:IFETH0:10.173.33.167,L,:25:UP:1500;</v>
      </c>
      <c r="J33" s="24" t="s">
        <v>0</v>
      </c>
      <c r="K33" s="25">
        <v>1</v>
      </c>
    </row>
    <row r="34" spans="2:16">
      <c r="B34" s="7" t="str">
        <f t="shared" si="0"/>
        <v>ZQRN:BCSU,2:PCU2D,6:IFETH0:10.173.33.168,L,:25:UP:1500;</v>
      </c>
    </row>
    <row r="35" spans="2:16">
      <c r="B35" s="7" t="str">
        <f t="shared" si="0"/>
        <v>ZQRN:BCSU,2:PCU2D,8:IFETH0:10.173.33.169,L,:25:UP:1500;</v>
      </c>
    </row>
    <row r="36" spans="2:16">
      <c r="B36" s="7" t="str">
        <f t="shared" si="0"/>
        <v>ZQRN:BCSU,3:PCU2D,4:IFETH0:10.173.33.170,L,:25:UP:1500;</v>
      </c>
    </row>
    <row r="37" spans="2:16">
      <c r="B37" s="7" t="str">
        <f t="shared" si="0"/>
        <v>ZQRN:BCSU,3:PCU2D,6:IFETH0:10.173.33.171,L,:25:UP:1500;</v>
      </c>
    </row>
    <row r="38" spans="2:16">
      <c r="B38" s="7" t="str">
        <f t="shared" si="0"/>
        <v>ZQRN:BCSU,4:PCU2D,4:IFETH0:10.173.33.173,L,:25:UP:1500;</v>
      </c>
    </row>
    <row r="39" spans="2:16">
      <c r="B39" s="7" t="str">
        <f t="shared" si="0"/>
        <v>ZQRN:BCSU,4:PCU2D,6:IFETH0:10.173.33.174,L,:25:UP:1500;</v>
      </c>
    </row>
    <row r="40" spans="2:16">
      <c r="B40" s="7" t="str">
        <f t="shared" si="0"/>
        <v>ZQRN:BCSU,5:PCU2D,4:IFETH0:10.173.33.176,L,:25:UP:1500;</v>
      </c>
    </row>
    <row r="41" spans="2:16">
      <c r="B41" s="7" t="str">
        <f t="shared" si="0"/>
        <v>ZQRN:BCSU,5:PCU2D,6:IFETH0:10.173.33.177,L,:25:UP:1500;</v>
      </c>
    </row>
    <row r="42" spans="2:16" s="8" customFormat="1">
      <c r="B42" s="7" t="str">
        <f t="shared" si="0"/>
        <v/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</row>
    <row r="43" spans="2:16">
      <c r="B43" s="7" t="str">
        <f t="shared" si="0"/>
        <v/>
      </c>
    </row>
    <row r="44" spans="2:16">
      <c r="B44" s="7" t="str">
        <f t="shared" si="0"/>
        <v/>
      </c>
    </row>
    <row r="45" spans="2:16">
      <c r="B45" s="7" t="str">
        <f t="shared" si="0"/>
        <v/>
      </c>
    </row>
    <row r="47" spans="2:16">
      <c r="B47" s="7" t="s">
        <v>31</v>
      </c>
    </row>
    <row r="48" spans="2:16">
      <c r="B48" s="7" t="str">
        <f t="shared" ref="B48:B63" si="1">IF(H6="","",CONCATENATE("ZQRN:BCSU,"&amp;H6&amp;":PCU2D,"&amp;I6&amp;":IFETH1:"&amp;K6&amp;",L,:25:UP:1500;"))</f>
        <v>ZQRN:BCSU,1:PCU2D,4:IFETH1:10.173.33.164,L,:25:UP:1500;</v>
      </c>
    </row>
    <row r="49" spans="2:16">
      <c r="B49" s="7" t="str">
        <f t="shared" si="1"/>
        <v>ZQRN:BCSU,1:PCU2D,6:IFETH1:10.173.33.165,L,:25:UP:1500;</v>
      </c>
    </row>
    <row r="50" spans="2:16" s="8" customFormat="1">
      <c r="B50" s="7" t="str">
        <f t="shared" si="1"/>
        <v>ZQRN:BCSU,1:PCU2D,8:IFETH1:10.173.33.166,L,:25:UP:1500;</v>
      </c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</row>
    <row r="51" spans="2:16">
      <c r="B51" s="7" t="str">
        <f t="shared" si="1"/>
        <v>ZQRN:BCSU,2:PCU2D,4:IFETH1:10.173.33.167,L,:25:UP:1500;</v>
      </c>
    </row>
    <row r="52" spans="2:16" s="8" customFormat="1">
      <c r="B52" s="7" t="str">
        <f t="shared" si="1"/>
        <v>ZQRN:BCSU,2:PCU2D,6:IFETH1:10.173.33.168,L,:25:UP:1500;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</row>
    <row r="53" spans="2:16" s="8" customFormat="1">
      <c r="B53" s="7" t="str">
        <f t="shared" si="1"/>
        <v>ZQRN:BCSU,2:PCU2D,8:IFETH1:10.173.33.169,L,:25:UP:1500;</v>
      </c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</row>
    <row r="54" spans="2:16" s="8" customFormat="1">
      <c r="B54" s="7" t="str">
        <f t="shared" si="1"/>
        <v>ZQRN:BCSU,3:PCU2D,4:IFETH1:10.173.33.170,L,:25:UP:1500;</v>
      </c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</row>
    <row r="55" spans="2:16" s="8" customFormat="1">
      <c r="B55" s="7" t="str">
        <f t="shared" si="1"/>
        <v>ZQRN:BCSU,3:PCU2D,6:IFETH1:10.173.33.171,L,:25:UP:1500;</v>
      </c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</row>
    <row r="56" spans="2:16" s="8" customFormat="1">
      <c r="B56" s="7" t="str">
        <f t="shared" si="1"/>
        <v>ZQRN:BCSU,4:PCU2D,4:IFETH1:10.173.33.173,L,:25:UP:1500;</v>
      </c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</row>
    <row r="57" spans="2:16" s="8" customFormat="1">
      <c r="B57" s="7" t="str">
        <f t="shared" si="1"/>
        <v>ZQRN:BCSU,4:PCU2D,6:IFETH1:10.173.33.174,L,:25:UP:1500;</v>
      </c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</row>
    <row r="58" spans="2:16" s="8" customFormat="1">
      <c r="B58" s="7" t="str">
        <f t="shared" si="1"/>
        <v>ZQRN:BCSU,5:PCU2D,4:IFETH1:10.173.33.176,L,:25:UP:1500;</v>
      </c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</row>
    <row r="59" spans="2:16" s="8" customFormat="1">
      <c r="B59" s="7" t="str">
        <f t="shared" si="1"/>
        <v>ZQRN:BCSU,5:PCU2D,6:IFETH1:10.173.33.177,L,:25:UP:1500;</v>
      </c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</row>
    <row r="60" spans="2:16" s="8" customFormat="1">
      <c r="B60" s="7" t="str">
        <f t="shared" si="1"/>
        <v/>
      </c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</row>
    <row r="61" spans="2:16" s="8" customFormat="1">
      <c r="B61" s="7" t="str">
        <f t="shared" si="1"/>
        <v/>
      </c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</row>
    <row r="62" spans="2:16" s="8" customFormat="1">
      <c r="B62" s="7" t="str">
        <f t="shared" si="1"/>
        <v/>
      </c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</row>
    <row r="63" spans="2:16" s="8" customFormat="1">
      <c r="B63" s="7" t="str">
        <f t="shared" si="1"/>
        <v/>
      </c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</row>
    <row r="64" spans="2:16" s="8" customFormat="1">
      <c r="B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</row>
    <row r="65" spans="2:16" s="8" customFormat="1">
      <c r="B65" s="7" t="s">
        <v>32</v>
      </c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</row>
    <row r="66" spans="2:16" s="8" customFormat="1">
      <c r="B66" s="7" t="str">
        <f t="shared" ref="B66:B81" si="2">IF(H6="","",CONCATENATE("ZQKC:BCSU,",H6,":PCU2D,",I6,"::",$K$27,":LOG;"))</f>
        <v>ZQKC:BCSU,1:PCU2D,4::10.173.33.161:LOG;</v>
      </c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</row>
    <row r="67" spans="2:16" s="8" customFormat="1">
      <c r="B67" s="7" t="str">
        <f t="shared" si="2"/>
        <v>ZQKC:BCSU,1:PCU2D,6::10.173.33.161:LOG;</v>
      </c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2:16" s="8" customFormat="1">
      <c r="B68" s="7" t="str">
        <f t="shared" si="2"/>
        <v>ZQKC:BCSU,1:PCU2D,8::10.173.33.161:LOG;</v>
      </c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</row>
    <row r="69" spans="2:16">
      <c r="B69" s="7" t="str">
        <f t="shared" si="2"/>
        <v>ZQKC:BCSU,2:PCU2D,4::10.173.33.161:LOG;</v>
      </c>
    </row>
    <row r="70" spans="2:16" s="8" customFormat="1">
      <c r="B70" s="7" t="str">
        <f t="shared" si="2"/>
        <v>ZQKC:BCSU,2:PCU2D,6::10.173.33.161:LOG;</v>
      </c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</row>
    <row r="71" spans="2:16" s="8" customFormat="1">
      <c r="B71" s="7" t="str">
        <f t="shared" si="2"/>
        <v>ZQKC:BCSU,2:PCU2D,8::10.173.33.161:LOG;</v>
      </c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</row>
    <row r="72" spans="2:16" s="8" customFormat="1">
      <c r="B72" s="7" t="str">
        <f t="shared" si="2"/>
        <v>ZQKC:BCSU,3:PCU2D,4::10.173.33.161:LOG;</v>
      </c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</row>
    <row r="73" spans="2:16" s="8" customFormat="1">
      <c r="B73" s="7" t="str">
        <f t="shared" si="2"/>
        <v>ZQKC:BCSU,3:PCU2D,6::10.173.33.161:LOG;</v>
      </c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</row>
    <row r="74" spans="2:16" s="8" customFormat="1">
      <c r="B74" s="7" t="str">
        <f t="shared" si="2"/>
        <v>ZQKC:BCSU,4:PCU2D,4::10.173.33.161:LOG;</v>
      </c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</row>
    <row r="75" spans="2:16" s="8" customFormat="1">
      <c r="B75" s="7" t="str">
        <f t="shared" si="2"/>
        <v>ZQKC:BCSU,4:PCU2D,6::10.173.33.161:LOG;</v>
      </c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</row>
    <row r="76" spans="2:16" s="8" customFormat="1">
      <c r="B76" s="7" t="str">
        <f t="shared" si="2"/>
        <v>ZQKC:BCSU,5:PCU2D,4::10.173.33.161:LOG;</v>
      </c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</row>
    <row r="77" spans="2:16" s="8" customFormat="1">
      <c r="B77" s="7" t="str">
        <f t="shared" si="2"/>
        <v>ZQKC:BCSU,5:PCU2D,6::10.173.33.161:LOG;</v>
      </c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</row>
    <row r="78" spans="2:16" s="8" customFormat="1">
      <c r="B78" s="7" t="str">
        <f t="shared" si="2"/>
        <v/>
      </c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</row>
    <row r="79" spans="2:16" s="8" customFormat="1">
      <c r="B79" s="7" t="str">
        <f t="shared" si="2"/>
        <v/>
      </c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</row>
    <row r="80" spans="2:16" s="8" customFormat="1">
      <c r="B80" s="7" t="str">
        <f t="shared" si="2"/>
        <v/>
      </c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</row>
    <row r="81" spans="2:16" s="8" customFormat="1">
      <c r="B81" s="7" t="str">
        <f t="shared" si="2"/>
        <v/>
      </c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</row>
    <row r="82" spans="2:16" s="8" customFormat="1">
      <c r="B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</row>
    <row r="83" spans="2:16" s="8" customFormat="1">
      <c r="B83" s="7" t="s">
        <v>33</v>
      </c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</row>
    <row r="84" spans="2:16" s="8" customFormat="1">
      <c r="B84" s="7" t="str">
        <f t="shared" ref="B84:B99" si="3">IF(J6="","",CONCATENATE("ZFXA:PSEI=",J6,",BCSU=",H6,",PCU=",I6,";"))</f>
        <v>ZFXA:PSEI=1,BCSU=1,PCU=4;</v>
      </c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</row>
    <row r="85" spans="2:16" s="8" customFormat="1">
      <c r="B85" s="7" t="str">
        <f t="shared" si="3"/>
        <v>ZFXA:PSEI=2,BCSU=1,PCU=6;</v>
      </c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</row>
    <row r="86" spans="2:16" s="8" customFormat="1">
      <c r="B86" s="7" t="str">
        <f t="shared" si="3"/>
        <v>ZFXA:PSEI=3,BCSU=1,PCU=8;</v>
      </c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</row>
    <row r="87" spans="2:16">
      <c r="B87" s="7" t="str">
        <f t="shared" si="3"/>
        <v>ZFXA:PSEI=4,BCSU=2,PCU=4;</v>
      </c>
    </row>
    <row r="88" spans="2:16" s="8" customFormat="1">
      <c r="B88" s="7" t="str">
        <f t="shared" si="3"/>
        <v>ZFXA:PSEI=5,BCSU=2,PCU=6;</v>
      </c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</row>
    <row r="89" spans="2:16" s="8" customFormat="1">
      <c r="B89" s="7" t="str">
        <f t="shared" si="3"/>
        <v>ZFXA:PSEI=6,BCSU=2,PCU=8;</v>
      </c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</row>
    <row r="90" spans="2:16" s="8" customFormat="1">
      <c r="B90" s="7" t="str">
        <f t="shared" si="3"/>
        <v>ZFXA:PSEI=7,BCSU=3,PCU=4;</v>
      </c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</row>
    <row r="91" spans="2:16" s="8" customFormat="1">
      <c r="B91" s="7" t="str">
        <f t="shared" si="3"/>
        <v>ZFXA:PSEI=8,BCSU=3,PCU=6;</v>
      </c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</row>
    <row r="92" spans="2:16" s="8" customFormat="1">
      <c r="B92" s="7" t="str">
        <f t="shared" si="3"/>
        <v>ZFXA:PSEI=10,BCSU=4,PCU=4;</v>
      </c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</row>
    <row r="93" spans="2:16" s="8" customFormat="1">
      <c r="B93" s="7" t="str">
        <f t="shared" si="3"/>
        <v>ZFXA:PSEI=11,BCSU=4,PCU=6;</v>
      </c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</row>
    <row r="94" spans="2:16" s="8" customFormat="1">
      <c r="B94" s="7" t="str">
        <f t="shared" si="3"/>
        <v>ZFXA:PSEI=13,BCSU=5,PCU=4;</v>
      </c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</row>
    <row r="95" spans="2:16" s="8" customFormat="1">
      <c r="B95" s="7" t="str">
        <f t="shared" si="3"/>
        <v>ZFXA:PSEI=14,BCSU=5,PCU=6;</v>
      </c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</row>
    <row r="96" spans="2:16" s="8" customFormat="1">
      <c r="B96" s="7" t="str">
        <f t="shared" si="3"/>
        <v/>
      </c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</row>
    <row r="97" spans="2:16" s="8" customFormat="1">
      <c r="B97" s="7" t="str">
        <f t="shared" si="3"/>
        <v/>
      </c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</row>
    <row r="98" spans="2:16" s="8" customFormat="1">
      <c r="B98" s="7" t="str">
        <f t="shared" si="3"/>
        <v/>
      </c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</row>
    <row r="99" spans="2:16" s="8" customFormat="1">
      <c r="B99" s="7" t="str">
        <f t="shared" si="3"/>
        <v/>
      </c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</row>
    <row r="100" spans="2:16" s="8" customFormat="1">
      <c r="B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</row>
    <row r="101" spans="2:16" s="8" customFormat="1">
      <c r="B101" s="7" t="s">
        <v>34</v>
      </c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</row>
    <row r="102" spans="2:16" s="8" customFormat="1">
      <c r="B102" s="7" t="str">
        <f t="shared" ref="B102:B117" si="4">IF(N6="","",CONCATENATE("ZFXK:NSVLI=",F6,",NAME=",G6,",NSEI=",E6,",PSEI=",J6,":LPNBR=",M6,",PRE=N:RIP=""",L6,""",RPNBR=",N6,",RDW=",O6,",RSW=",P6,";"))</f>
        <v>ZFXK:NSVLI=1250,NAME=BA51_1,NSEI=5850,PSEI=1:LPNBR=50000,PRE=N:RIP="10.170.36.228",RPNBR=50250,RDW=50,RSW=50;</v>
      </c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</row>
    <row r="103" spans="2:16" s="8" customFormat="1">
      <c r="B103" s="7" t="str">
        <f t="shared" si="4"/>
        <v>ZFXK:NSVLI=1251,NAME=BA51_2,NSEI=5851,PSEI=2:LPNBR=50000,PRE=N:RIP="10.170.36.229",RPNBR=50251,RDW=50,RSW=50;</v>
      </c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</row>
    <row r="104" spans="2:16" s="8" customFormat="1">
      <c r="B104" s="7" t="str">
        <f t="shared" si="4"/>
        <v>ZFXK:NSVLI=1252,NAME=BA51_3,NSEI=5852,PSEI=3:LPNBR=50000,PRE=N:RIP="10.170.36.230",RPNBR=50252,RDW=50,RSW=50;</v>
      </c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</row>
    <row r="105" spans="2:16">
      <c r="B105" s="7" t="str">
        <f t="shared" si="4"/>
        <v>ZFXK:NSVLI=1253,NAME=BA51_4,NSEI=5853,PSEI=4:LPNBR=50000,PRE=N:RIP="10.170.36.228",RPNBR=50253,RDW=50,RSW=50;</v>
      </c>
    </row>
    <row r="106" spans="2:16" s="8" customFormat="1">
      <c r="B106" s="7" t="str">
        <f t="shared" si="4"/>
        <v>ZFXK:NSVLI=1254,NAME=BA51_5,NSEI=5854,PSEI=5:LPNBR=50000,PRE=N:RIP="10.170.36.229",RPNBR=50254,RDW=50,RSW=50;</v>
      </c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</row>
    <row r="107" spans="2:16" s="8" customFormat="1">
      <c r="B107" s="7" t="str">
        <f t="shared" si="4"/>
        <v>ZFXK:NSVLI=1255,NAME=BA51_6,NSEI=5855,PSEI=6:LPNBR=50000,PRE=N:RIP="10.170.36.230",RPNBR=50255,RDW=50,RSW=50;</v>
      </c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</row>
    <row r="108" spans="2:16" s="8" customFormat="1">
      <c r="B108" s="7" t="str">
        <f t="shared" si="4"/>
        <v>ZFXK:NSVLI=1256,NAME=BA51_7,NSEI=5856,PSEI=7:LPNBR=50000,PRE=N:RIP="10.170.36.228",RPNBR=50256,RDW=50,RSW=50;</v>
      </c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</row>
    <row r="109" spans="2:16" s="8" customFormat="1">
      <c r="B109" s="7" t="str">
        <f t="shared" si="4"/>
        <v>ZFXK:NSVLI=1257,NAME=BA51_8,NSEI=5857,PSEI=8:LPNBR=50000,PRE=N:RIP="10.170.36.229",RPNBR=50257,RDW=50,RSW=50;</v>
      </c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</row>
    <row r="110" spans="2:16" s="8" customFormat="1">
      <c r="B110" s="7" t="str">
        <f t="shared" si="4"/>
        <v>ZFXK:NSVLI=1259,NAME=BA51_10,NSEI=5859,PSEI=10:LPNBR=50000,PRE=N:RIP="10.170.36.228",RPNBR=50259,RDW=50,RSW=50;</v>
      </c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</row>
    <row r="111" spans="2:16" s="8" customFormat="1">
      <c r="B111" s="7" t="str">
        <f t="shared" si="4"/>
        <v>ZFXK:NSVLI=1260,NAME=BA51_11,NSEI=5860,PSEI=11:LPNBR=50000,PRE=N:RIP="10.170.36.229",RPNBR=50260,RDW=50,RSW=50;</v>
      </c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</row>
    <row r="112" spans="2:16" s="8" customFormat="1">
      <c r="B112" s="7" t="str">
        <f t="shared" si="4"/>
        <v>ZFXK:NSVLI=1262,NAME=BA51_13,NSEI=5862,PSEI=13:LPNBR=50000,PRE=N:RIP="10.170.36.228",RPNBR=50262,RDW=50,RSW=50;</v>
      </c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</row>
    <row r="113" spans="2:16" s="8" customFormat="1">
      <c r="B113" s="7" t="str">
        <f t="shared" si="4"/>
        <v>ZFXK:NSVLI=1263,NAME=BA51_14,NSEI=5863,PSEI=14:LPNBR=50000,PRE=N:RIP="10.170.36.229",RPNBR=50263,RDW=50,RSW=50;</v>
      </c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</row>
    <row r="114" spans="2:16" s="8" customFormat="1">
      <c r="B114" s="7" t="str">
        <f t="shared" si="4"/>
        <v/>
      </c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</row>
    <row r="115" spans="2:16" s="8" customFormat="1">
      <c r="B115" s="7" t="str">
        <f t="shared" si="4"/>
        <v/>
      </c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</row>
    <row r="116" spans="2:16" s="8" customFormat="1">
      <c r="B116" s="7" t="str">
        <f t="shared" si="4"/>
        <v/>
      </c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</row>
    <row r="117" spans="2:16" s="8" customFormat="1">
      <c r="B117" s="7" t="str">
        <f t="shared" si="4"/>
        <v/>
      </c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</row>
    <row r="118" spans="2:16" s="8" customFormat="1">
      <c r="B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</row>
    <row r="119" spans="2:16" s="8" customFormat="1">
      <c r="B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</row>
    <row r="120" spans="2:16" s="8" customFormat="1">
      <c r="B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</row>
    <row r="121" spans="2:16" s="8" customFormat="1"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</row>
    <row r="122" spans="2:16" s="8" customFormat="1"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</row>
    <row r="126" spans="2:16">
      <c r="B126" s="27" t="s">
        <v>38</v>
      </c>
    </row>
    <row r="127" spans="2:16">
      <c r="B127" s="27" t="s">
        <v>8</v>
      </c>
    </row>
    <row r="128" spans="2:16">
      <c r="B128" s="27" t="str">
        <f>CONCATENATE("ZEBF:MCC=",$K$30,",MNC=",$K$31,",LAC=",$K$32,",RAC=",$K$33,":NSEI=",E104,"&amp;",E105,"&amp;",E106,"&amp;",E107,"&amp;",E108,"&amp;",E109,"&amp;",E110,"&amp;",E111,";")</f>
        <v>ZEBF:MCC=724,MNC=05,LAC=771,RAC=1:NSEI=&amp;&amp;&amp;&amp;&amp;&amp;&amp;;</v>
      </c>
    </row>
    <row r="130" spans="2:16" s="8" customFormat="1">
      <c r="B130" s="7" t="s">
        <v>38</v>
      </c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</row>
  </sheetData>
  <sheetProtection password="B6E0" sheet="1" objects="1" scenarios="1"/>
  <protectedRanges>
    <protectedRange sqref="K30:K33" name="Rango3"/>
    <protectedRange sqref="K26:K28" name="Rango2"/>
    <protectedRange sqref="B6:P21" name="Rango1"/>
  </protectedRanges>
  <mergeCells count="5">
    <mergeCell ref="B2:P2"/>
    <mergeCell ref="B4:B5"/>
    <mergeCell ref="C4:C5"/>
    <mergeCell ref="D4:H4"/>
    <mergeCell ref="L4:P4"/>
  </mergeCells>
  <printOptions horizontalCentered="1"/>
  <pageMargins left="0.39370078740157483" right="0.39370078740157483" top="3.03" bottom="0.39370078740157483" header="0.19685039370078741" footer="0.19685039370078741"/>
  <pageSetup paperSize="9" scale="71" orientation="landscape" horizontalDpi="355" verticalDpi="464" r:id="rId1"/>
  <headerFooter alignWithMargins="0">
    <oddFooter>&amp;L&amp;"Arial,Negrito"&amp;F&amp;C&amp;"Arial,Negrito"CONFIDENCIAL&amp;R&amp;"Arial,Negrito"&amp;P/&amp;N</oddFooter>
  </headerFooter>
  <ignoredErrors>
    <ignoredError sqref="K31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363"/>
  <sheetViews>
    <sheetView showGridLines="0" topLeftCell="A28" zoomScale="70" zoomScaleNormal="70" zoomScaleSheetLayoutView="100" workbookViewId="0">
      <selection activeCell="E59" sqref="E59"/>
    </sheetView>
  </sheetViews>
  <sheetFormatPr defaultColWidth="11.42578125" defaultRowHeight="15"/>
  <cols>
    <col min="1" max="1" width="3.85546875" style="27" bestFit="1" customWidth="1"/>
    <col min="2" max="2" width="11.42578125" style="27" customWidth="1"/>
    <col min="3" max="3" width="14.85546875" style="8" bestFit="1" customWidth="1"/>
    <col min="4" max="4" width="11" style="27" bestFit="1" customWidth="1"/>
    <col min="5" max="5" width="13.28515625" style="27" customWidth="1"/>
    <col min="6" max="6" width="19.28515625" style="27" bestFit="1" customWidth="1"/>
    <col min="7" max="7" width="20.7109375" style="27" bestFit="1" customWidth="1"/>
    <col min="8" max="8" width="15.5703125" style="27" bestFit="1" customWidth="1"/>
    <col min="9" max="9" width="12.42578125" style="27" bestFit="1" customWidth="1"/>
    <col min="10" max="10" width="20.5703125" style="27" bestFit="1" customWidth="1"/>
    <col min="11" max="11" width="23.42578125" style="27" bestFit="1" customWidth="1"/>
    <col min="12" max="12" width="20.85546875" style="27" bestFit="1" customWidth="1"/>
    <col min="13" max="14" width="16.7109375" style="27" bestFit="1" customWidth="1"/>
    <col min="15" max="15" width="15.85546875" style="27" customWidth="1"/>
    <col min="16" max="16" width="15.42578125" style="27" customWidth="1"/>
    <col min="17" max="17" width="12.7109375" style="27" bestFit="1" customWidth="1"/>
    <col min="18" max="18" width="14" style="27" bestFit="1" customWidth="1"/>
    <col min="19" max="16384" width="11.42578125" style="27"/>
  </cols>
  <sheetData>
    <row r="1" spans="2:22" ht="15.75" thickBot="1">
      <c r="R1" s="28">
        <f ca="1">TODAY()</f>
        <v>42447</v>
      </c>
    </row>
    <row r="2" spans="2:22" ht="18.75" thickBot="1">
      <c r="B2" s="174" t="s">
        <v>12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6"/>
    </row>
    <row r="3" spans="2:22" ht="15.75">
      <c r="B3" s="9"/>
      <c r="C3" s="10"/>
      <c r="D3" s="10"/>
      <c r="E3" s="10"/>
      <c r="F3" s="10"/>
      <c r="G3" s="10"/>
      <c r="H3" s="10"/>
      <c r="I3" s="10"/>
      <c r="J3" s="10"/>
      <c r="K3" s="11"/>
      <c r="L3" s="11"/>
      <c r="M3" s="11"/>
      <c r="N3" s="11"/>
      <c r="O3" s="11"/>
    </row>
    <row r="4" spans="2:22">
      <c r="B4" s="185" t="s">
        <v>2</v>
      </c>
      <c r="C4" s="185" t="s">
        <v>0</v>
      </c>
      <c r="D4" s="185" t="s">
        <v>1</v>
      </c>
      <c r="E4" s="185" t="s">
        <v>75</v>
      </c>
      <c r="F4" s="185" t="s">
        <v>76</v>
      </c>
      <c r="G4" s="185" t="s">
        <v>77</v>
      </c>
      <c r="H4" s="185"/>
      <c r="I4" s="185"/>
      <c r="J4" s="185"/>
      <c r="K4" s="185"/>
      <c r="L4" s="185" t="s">
        <v>78</v>
      </c>
      <c r="M4" s="185"/>
      <c r="N4" s="185"/>
      <c r="O4" s="185"/>
      <c r="P4" s="186" t="s">
        <v>4</v>
      </c>
      <c r="Q4" s="185" t="s">
        <v>79</v>
      </c>
      <c r="R4" s="185"/>
      <c r="S4" s="185"/>
      <c r="T4" s="185"/>
      <c r="U4" s="185"/>
      <c r="V4" s="185" t="s">
        <v>80</v>
      </c>
    </row>
    <row r="5" spans="2:22" ht="51">
      <c r="B5" s="185"/>
      <c r="C5" s="185"/>
      <c r="D5" s="185"/>
      <c r="E5" s="185"/>
      <c r="F5" s="185"/>
      <c r="G5" s="79" t="s">
        <v>81</v>
      </c>
      <c r="H5" s="79" t="s">
        <v>82</v>
      </c>
      <c r="I5" s="80" t="s">
        <v>83</v>
      </c>
      <c r="J5" s="79" t="s">
        <v>84</v>
      </c>
      <c r="K5" s="79" t="s">
        <v>85</v>
      </c>
      <c r="L5" s="79" t="s">
        <v>86</v>
      </c>
      <c r="M5" s="79" t="s">
        <v>87</v>
      </c>
      <c r="N5" s="79" t="s">
        <v>84</v>
      </c>
      <c r="O5" s="79" t="s">
        <v>85</v>
      </c>
      <c r="P5" s="187"/>
      <c r="Q5" s="81" t="s">
        <v>88</v>
      </c>
      <c r="R5" s="81" t="s">
        <v>89</v>
      </c>
      <c r="S5" s="81" t="s">
        <v>90</v>
      </c>
      <c r="T5" s="82" t="s">
        <v>91</v>
      </c>
      <c r="U5" s="82" t="s">
        <v>92</v>
      </c>
      <c r="V5" s="185"/>
    </row>
    <row r="6" spans="2:22">
      <c r="B6" s="62" t="s">
        <v>125</v>
      </c>
      <c r="C6" s="62">
        <v>1</v>
      </c>
      <c r="D6" s="62">
        <v>571</v>
      </c>
      <c r="E6" s="62">
        <v>2</v>
      </c>
      <c r="F6" s="62">
        <v>7</v>
      </c>
      <c r="G6" s="62" t="s">
        <v>136</v>
      </c>
      <c r="H6" s="62">
        <v>13</v>
      </c>
      <c r="I6" s="62" t="s">
        <v>127</v>
      </c>
      <c r="J6" s="63" t="s">
        <v>93</v>
      </c>
      <c r="K6" s="62">
        <v>50000</v>
      </c>
      <c r="L6" s="63"/>
      <c r="M6" s="63" t="s">
        <v>71</v>
      </c>
      <c r="N6" s="63"/>
      <c r="O6" s="62">
        <v>50812</v>
      </c>
      <c r="P6" s="62">
        <v>7212</v>
      </c>
      <c r="Q6" s="62">
        <v>1462</v>
      </c>
      <c r="R6" s="62" t="s">
        <v>126</v>
      </c>
      <c r="S6" s="62" t="s">
        <v>94</v>
      </c>
      <c r="T6" s="62">
        <v>50</v>
      </c>
      <c r="U6" s="62">
        <v>50</v>
      </c>
      <c r="V6" s="64" t="s">
        <v>95</v>
      </c>
    </row>
    <row r="7" spans="2:22">
      <c r="B7" s="62" t="s">
        <v>125</v>
      </c>
      <c r="C7" s="62">
        <v>1</v>
      </c>
      <c r="D7" s="62">
        <v>571</v>
      </c>
      <c r="E7" s="62">
        <v>2</v>
      </c>
      <c r="F7" s="62">
        <v>8</v>
      </c>
      <c r="G7" s="62" t="s">
        <v>136</v>
      </c>
      <c r="H7" s="62">
        <v>14</v>
      </c>
      <c r="I7" s="62" t="s">
        <v>129</v>
      </c>
      <c r="J7" s="63" t="s">
        <v>93</v>
      </c>
      <c r="K7" s="62">
        <v>50000</v>
      </c>
      <c r="L7" s="63"/>
      <c r="M7" s="63" t="s">
        <v>71</v>
      </c>
      <c r="N7" s="63"/>
      <c r="O7" s="62">
        <v>50813</v>
      </c>
      <c r="P7" s="62">
        <v>7213</v>
      </c>
      <c r="Q7" s="62">
        <v>1463</v>
      </c>
      <c r="R7" s="62" t="s">
        <v>128</v>
      </c>
      <c r="S7" s="62" t="s">
        <v>94</v>
      </c>
      <c r="T7" s="62">
        <v>50</v>
      </c>
      <c r="U7" s="62">
        <v>50</v>
      </c>
      <c r="V7" s="64" t="s">
        <v>95</v>
      </c>
    </row>
    <row r="8" spans="2:22">
      <c r="B8" s="62" t="s">
        <v>125</v>
      </c>
      <c r="C8" s="62">
        <v>1</v>
      </c>
      <c r="D8" s="62">
        <v>571</v>
      </c>
      <c r="E8" s="62">
        <v>2</v>
      </c>
      <c r="F8" s="62">
        <v>4</v>
      </c>
      <c r="G8" s="62" t="s">
        <v>136</v>
      </c>
      <c r="H8" s="62">
        <v>15</v>
      </c>
      <c r="I8" s="62" t="s">
        <v>131</v>
      </c>
      <c r="J8" s="63" t="s">
        <v>93</v>
      </c>
      <c r="K8" s="62">
        <v>50000</v>
      </c>
      <c r="L8" s="63"/>
      <c r="M8" s="63" t="s">
        <v>71</v>
      </c>
      <c r="N8" s="63"/>
      <c r="O8" s="62">
        <v>50814</v>
      </c>
      <c r="P8" s="62">
        <v>7214</v>
      </c>
      <c r="Q8" s="62">
        <v>1464</v>
      </c>
      <c r="R8" s="62" t="s">
        <v>130</v>
      </c>
      <c r="S8" s="62" t="s">
        <v>94</v>
      </c>
      <c r="T8" s="62">
        <v>50</v>
      </c>
      <c r="U8" s="62">
        <v>50</v>
      </c>
      <c r="V8" s="64" t="s">
        <v>95</v>
      </c>
    </row>
    <row r="9" spans="2:22">
      <c r="B9" s="62" t="s">
        <v>125</v>
      </c>
      <c r="C9" s="62">
        <v>1</v>
      </c>
      <c r="D9" s="62">
        <v>571</v>
      </c>
      <c r="E9" s="62">
        <v>2</v>
      </c>
      <c r="F9" s="62">
        <v>3</v>
      </c>
      <c r="G9" s="62" t="s">
        <v>136</v>
      </c>
      <c r="H9" s="62">
        <v>16</v>
      </c>
      <c r="I9" s="62" t="s">
        <v>133</v>
      </c>
      <c r="J9" s="63" t="s">
        <v>93</v>
      </c>
      <c r="K9" s="62">
        <v>50000</v>
      </c>
      <c r="L9" s="63"/>
      <c r="M9" s="63" t="s">
        <v>71</v>
      </c>
      <c r="N9" s="63"/>
      <c r="O9" s="62">
        <v>50815</v>
      </c>
      <c r="P9" s="62">
        <v>7215</v>
      </c>
      <c r="Q9" s="62">
        <v>1465</v>
      </c>
      <c r="R9" s="62" t="s">
        <v>132</v>
      </c>
      <c r="S9" s="62" t="s">
        <v>94</v>
      </c>
      <c r="T9" s="62">
        <v>50</v>
      </c>
      <c r="U9" s="62">
        <v>50</v>
      </c>
      <c r="V9" s="64" t="s">
        <v>95</v>
      </c>
    </row>
    <row r="10" spans="2:22">
      <c r="B10" s="62" t="s">
        <v>125</v>
      </c>
      <c r="C10" s="62">
        <v>1</v>
      </c>
      <c r="D10" s="62">
        <v>571</v>
      </c>
      <c r="E10" s="62">
        <v>2</v>
      </c>
      <c r="F10" s="62">
        <v>5</v>
      </c>
      <c r="G10" s="62" t="s">
        <v>136</v>
      </c>
      <c r="H10" s="62">
        <v>17</v>
      </c>
      <c r="I10" s="62" t="s">
        <v>135</v>
      </c>
      <c r="J10" s="63" t="s">
        <v>93</v>
      </c>
      <c r="K10" s="62">
        <v>50000</v>
      </c>
      <c r="L10" s="63"/>
      <c r="M10" s="63" t="s">
        <v>72</v>
      </c>
      <c r="N10" s="63"/>
      <c r="O10" s="62">
        <v>50816</v>
      </c>
      <c r="P10" s="62">
        <v>7216</v>
      </c>
      <c r="Q10" s="62">
        <v>1466</v>
      </c>
      <c r="R10" s="62" t="s">
        <v>134</v>
      </c>
      <c r="S10" s="62" t="s">
        <v>94</v>
      </c>
      <c r="T10" s="62">
        <v>50</v>
      </c>
      <c r="U10" s="62">
        <v>50</v>
      </c>
      <c r="V10" s="64" t="s">
        <v>95</v>
      </c>
    </row>
    <row r="11" spans="2:22">
      <c r="B11" s="62" t="s">
        <v>125</v>
      </c>
      <c r="C11" s="62">
        <v>1</v>
      </c>
      <c r="D11" s="62">
        <v>571</v>
      </c>
      <c r="E11" s="62">
        <v>2</v>
      </c>
      <c r="F11" s="62">
        <v>6</v>
      </c>
      <c r="G11" s="62" t="s">
        <v>136</v>
      </c>
      <c r="H11" s="62">
        <v>18</v>
      </c>
      <c r="I11" s="62" t="s">
        <v>164</v>
      </c>
      <c r="J11" s="63" t="s">
        <v>93</v>
      </c>
      <c r="K11" s="62">
        <v>50000</v>
      </c>
      <c r="L11" s="63"/>
      <c r="M11" s="63" t="s">
        <v>72</v>
      </c>
      <c r="N11" s="63"/>
      <c r="O11" s="62">
        <v>50817</v>
      </c>
      <c r="P11" s="62">
        <v>7217</v>
      </c>
      <c r="Q11" s="62">
        <v>1467</v>
      </c>
      <c r="R11" s="62" t="s">
        <v>137</v>
      </c>
      <c r="S11" s="62" t="s">
        <v>94</v>
      </c>
      <c r="T11" s="62">
        <v>50</v>
      </c>
      <c r="U11" s="62">
        <v>50</v>
      </c>
      <c r="V11" s="64" t="s">
        <v>95</v>
      </c>
    </row>
    <row r="12" spans="2:22" s="61" customFormat="1">
      <c r="B12" s="62" t="s">
        <v>125</v>
      </c>
      <c r="C12" s="62">
        <v>1</v>
      </c>
      <c r="D12" s="62">
        <v>571</v>
      </c>
      <c r="E12" s="62">
        <v>3</v>
      </c>
      <c r="F12" s="62">
        <v>7</v>
      </c>
      <c r="G12" s="62" t="s">
        <v>136</v>
      </c>
      <c r="H12" s="62">
        <v>19</v>
      </c>
      <c r="I12" s="62" t="s">
        <v>165</v>
      </c>
      <c r="J12" s="63" t="s">
        <v>93</v>
      </c>
      <c r="K12" s="62">
        <v>50000</v>
      </c>
      <c r="L12" s="63"/>
      <c r="M12" s="63" t="s">
        <v>72</v>
      </c>
      <c r="N12" s="63"/>
      <c r="O12" s="62">
        <v>50818</v>
      </c>
      <c r="P12" s="62">
        <v>7218</v>
      </c>
      <c r="Q12" s="62">
        <v>1468</v>
      </c>
      <c r="R12" s="62" t="s">
        <v>138</v>
      </c>
      <c r="S12" s="62" t="s">
        <v>94</v>
      </c>
      <c r="T12" s="62">
        <v>50</v>
      </c>
      <c r="U12" s="62">
        <v>50</v>
      </c>
      <c r="V12" s="64" t="s">
        <v>95</v>
      </c>
    </row>
    <row r="13" spans="2:22" s="61" customFormat="1">
      <c r="B13" s="62" t="s">
        <v>125</v>
      </c>
      <c r="C13" s="62">
        <v>1</v>
      </c>
      <c r="D13" s="62">
        <v>571</v>
      </c>
      <c r="E13" s="62">
        <v>3</v>
      </c>
      <c r="F13" s="62">
        <v>8</v>
      </c>
      <c r="G13" s="62" t="s">
        <v>136</v>
      </c>
      <c r="H13" s="62">
        <v>20</v>
      </c>
      <c r="I13" s="62" t="s">
        <v>166</v>
      </c>
      <c r="J13" s="63" t="s">
        <v>93</v>
      </c>
      <c r="K13" s="62">
        <v>50000</v>
      </c>
      <c r="L13" s="63"/>
      <c r="M13" s="63" t="s">
        <v>72</v>
      </c>
      <c r="N13" s="63"/>
      <c r="O13" s="62">
        <v>50819</v>
      </c>
      <c r="P13" s="62">
        <v>7219</v>
      </c>
      <c r="Q13" s="62">
        <v>1469</v>
      </c>
      <c r="R13" s="62" t="s">
        <v>139</v>
      </c>
      <c r="S13" s="62" t="s">
        <v>94</v>
      </c>
      <c r="T13" s="62">
        <v>50</v>
      </c>
      <c r="U13" s="62">
        <v>50</v>
      </c>
      <c r="V13" s="64" t="s">
        <v>95</v>
      </c>
    </row>
    <row r="14" spans="2:22" s="61" customFormat="1">
      <c r="B14" s="62" t="s">
        <v>125</v>
      </c>
      <c r="C14" s="62">
        <v>1</v>
      </c>
      <c r="D14" s="62">
        <v>571</v>
      </c>
      <c r="E14" s="62">
        <v>3</v>
      </c>
      <c r="F14" s="62">
        <v>4</v>
      </c>
      <c r="G14" s="62" t="s">
        <v>136</v>
      </c>
      <c r="H14" s="62">
        <v>21</v>
      </c>
      <c r="I14" s="62" t="s">
        <v>167</v>
      </c>
      <c r="J14" s="63" t="s">
        <v>93</v>
      </c>
      <c r="K14" s="62">
        <v>50000</v>
      </c>
      <c r="L14" s="63"/>
      <c r="M14" s="63" t="s">
        <v>72</v>
      </c>
      <c r="N14" s="63"/>
      <c r="O14" s="62">
        <v>50820</v>
      </c>
      <c r="P14" s="62">
        <v>7220</v>
      </c>
      <c r="Q14" s="62">
        <v>1470</v>
      </c>
      <c r="R14" s="62" t="s">
        <v>140</v>
      </c>
      <c r="S14" s="62" t="s">
        <v>94</v>
      </c>
      <c r="T14" s="62">
        <v>50</v>
      </c>
      <c r="U14" s="62">
        <v>50</v>
      </c>
      <c r="V14" s="64" t="s">
        <v>95</v>
      </c>
    </row>
    <row r="15" spans="2:22" s="61" customFormat="1">
      <c r="B15" s="62" t="s">
        <v>125</v>
      </c>
      <c r="C15" s="62">
        <v>1</v>
      </c>
      <c r="D15" s="62">
        <v>571</v>
      </c>
      <c r="E15" s="62">
        <v>3</v>
      </c>
      <c r="F15" s="62">
        <v>3</v>
      </c>
      <c r="G15" s="62" t="s">
        <v>136</v>
      </c>
      <c r="H15" s="62">
        <v>22</v>
      </c>
      <c r="I15" s="62" t="s">
        <v>168</v>
      </c>
      <c r="J15" s="63" t="s">
        <v>93</v>
      </c>
      <c r="K15" s="62">
        <v>50000</v>
      </c>
      <c r="L15" s="63"/>
      <c r="M15" s="63" t="s">
        <v>72</v>
      </c>
      <c r="N15" s="63"/>
      <c r="O15" s="62">
        <v>50821</v>
      </c>
      <c r="P15" s="62">
        <v>7221</v>
      </c>
      <c r="Q15" s="62">
        <v>1471</v>
      </c>
      <c r="R15" s="62" t="s">
        <v>141</v>
      </c>
      <c r="S15" s="62" t="s">
        <v>94</v>
      </c>
      <c r="T15" s="62">
        <v>50</v>
      </c>
      <c r="U15" s="62">
        <v>50</v>
      </c>
      <c r="V15" s="64" t="s">
        <v>95</v>
      </c>
    </row>
    <row r="16" spans="2:22" s="61" customFormat="1">
      <c r="B16" s="62" t="s">
        <v>125</v>
      </c>
      <c r="C16" s="62">
        <v>1</v>
      </c>
      <c r="D16" s="62">
        <v>571</v>
      </c>
      <c r="E16" s="62">
        <v>3</v>
      </c>
      <c r="F16" s="62">
        <v>5</v>
      </c>
      <c r="G16" s="62" t="s">
        <v>136</v>
      </c>
      <c r="H16" s="62">
        <v>23</v>
      </c>
      <c r="I16" s="62" t="s">
        <v>169</v>
      </c>
      <c r="J16" s="63" t="s">
        <v>93</v>
      </c>
      <c r="K16" s="62">
        <v>50000</v>
      </c>
      <c r="L16" s="63"/>
      <c r="M16" s="63" t="s">
        <v>72</v>
      </c>
      <c r="N16" s="63"/>
      <c r="O16" s="62">
        <v>50822</v>
      </c>
      <c r="P16" s="62">
        <v>7222</v>
      </c>
      <c r="Q16" s="62">
        <v>1472</v>
      </c>
      <c r="R16" s="62" t="s">
        <v>142</v>
      </c>
      <c r="S16" s="62" t="s">
        <v>94</v>
      </c>
      <c r="T16" s="62">
        <v>50</v>
      </c>
      <c r="U16" s="62">
        <v>50</v>
      </c>
      <c r="V16" s="64" t="s">
        <v>95</v>
      </c>
    </row>
    <row r="17" spans="2:22" s="61" customFormat="1">
      <c r="B17" s="62" t="s">
        <v>125</v>
      </c>
      <c r="C17" s="62">
        <v>1</v>
      </c>
      <c r="D17" s="62">
        <v>571</v>
      </c>
      <c r="E17" s="62">
        <v>3</v>
      </c>
      <c r="F17" s="62">
        <v>6</v>
      </c>
      <c r="G17" s="62" t="s">
        <v>136</v>
      </c>
      <c r="H17" s="62">
        <v>24</v>
      </c>
      <c r="I17" s="62" t="s">
        <v>170</v>
      </c>
      <c r="J17" s="63" t="s">
        <v>93</v>
      </c>
      <c r="K17" s="62">
        <v>50000</v>
      </c>
      <c r="L17" s="63"/>
      <c r="M17" s="63" t="s">
        <v>72</v>
      </c>
      <c r="N17" s="63"/>
      <c r="O17" s="62">
        <v>50823</v>
      </c>
      <c r="P17" s="62">
        <v>7223</v>
      </c>
      <c r="Q17" s="62">
        <v>1473</v>
      </c>
      <c r="R17" s="62" t="s">
        <v>143</v>
      </c>
      <c r="S17" s="62" t="s">
        <v>94</v>
      </c>
      <c r="T17" s="62">
        <v>50</v>
      </c>
      <c r="U17" s="62">
        <v>50</v>
      </c>
      <c r="V17" s="64" t="s">
        <v>95</v>
      </c>
    </row>
    <row r="18" spans="2:22" s="61" customFormat="1">
      <c r="B18" s="62" t="s">
        <v>125</v>
      </c>
      <c r="C18" s="62">
        <v>1</v>
      </c>
      <c r="D18" s="62">
        <v>571</v>
      </c>
      <c r="E18" s="62">
        <v>4</v>
      </c>
      <c r="F18" s="62">
        <v>7</v>
      </c>
      <c r="G18" s="62" t="s">
        <v>136</v>
      </c>
      <c r="H18" s="62">
        <v>25</v>
      </c>
      <c r="I18" s="62" t="s">
        <v>171</v>
      </c>
      <c r="J18" s="63" t="s">
        <v>93</v>
      </c>
      <c r="K18" s="62">
        <v>50000</v>
      </c>
      <c r="L18" s="63"/>
      <c r="M18" s="63" t="s">
        <v>72</v>
      </c>
      <c r="N18" s="63"/>
      <c r="O18" s="62">
        <v>50824</v>
      </c>
      <c r="P18" s="62">
        <v>7224</v>
      </c>
      <c r="Q18" s="62">
        <v>1474</v>
      </c>
      <c r="R18" s="62" t="s">
        <v>144</v>
      </c>
      <c r="S18" s="62" t="s">
        <v>94</v>
      </c>
      <c r="T18" s="62">
        <v>50</v>
      </c>
      <c r="U18" s="62">
        <v>50</v>
      </c>
      <c r="V18" s="64" t="s">
        <v>95</v>
      </c>
    </row>
    <row r="19" spans="2:22" s="61" customFormat="1">
      <c r="B19" s="62" t="s">
        <v>125</v>
      </c>
      <c r="C19" s="62">
        <v>1</v>
      </c>
      <c r="D19" s="62">
        <v>571</v>
      </c>
      <c r="E19" s="62">
        <v>4</v>
      </c>
      <c r="F19" s="62">
        <v>8</v>
      </c>
      <c r="G19" s="62" t="s">
        <v>136</v>
      </c>
      <c r="H19" s="62">
        <v>26</v>
      </c>
      <c r="I19" s="62" t="s">
        <v>172</v>
      </c>
      <c r="J19" s="63" t="s">
        <v>93</v>
      </c>
      <c r="K19" s="62">
        <v>50000</v>
      </c>
      <c r="L19" s="63"/>
      <c r="M19" s="63" t="s">
        <v>72</v>
      </c>
      <c r="N19" s="63"/>
      <c r="O19" s="62">
        <v>50825</v>
      </c>
      <c r="P19" s="62">
        <v>7225</v>
      </c>
      <c r="Q19" s="62">
        <v>1475</v>
      </c>
      <c r="R19" s="62" t="s">
        <v>145</v>
      </c>
      <c r="S19" s="62" t="s">
        <v>94</v>
      </c>
      <c r="T19" s="62">
        <v>50</v>
      </c>
      <c r="U19" s="62">
        <v>50</v>
      </c>
      <c r="V19" s="64" t="s">
        <v>95</v>
      </c>
    </row>
    <row r="20" spans="2:22" s="61" customFormat="1">
      <c r="B20" s="62" t="s">
        <v>125</v>
      </c>
      <c r="C20" s="62">
        <v>1</v>
      </c>
      <c r="D20" s="62">
        <v>571</v>
      </c>
      <c r="E20" s="62">
        <v>4</v>
      </c>
      <c r="F20" s="62">
        <v>4</v>
      </c>
      <c r="G20" s="62" t="s">
        <v>136</v>
      </c>
      <c r="H20" s="62">
        <v>27</v>
      </c>
      <c r="I20" s="62" t="s">
        <v>173</v>
      </c>
      <c r="J20" s="63" t="s">
        <v>93</v>
      </c>
      <c r="K20" s="62">
        <v>50000</v>
      </c>
      <c r="L20" s="63"/>
      <c r="M20" s="63" t="s">
        <v>72</v>
      </c>
      <c r="N20" s="63"/>
      <c r="O20" s="62">
        <v>50826</v>
      </c>
      <c r="P20" s="62">
        <v>7226</v>
      </c>
      <c r="Q20" s="62">
        <v>1476</v>
      </c>
      <c r="R20" s="62" t="s">
        <v>146</v>
      </c>
      <c r="S20" s="62" t="s">
        <v>94</v>
      </c>
      <c r="T20" s="62">
        <v>50</v>
      </c>
      <c r="U20" s="62">
        <v>50</v>
      </c>
      <c r="V20" s="64" t="s">
        <v>95</v>
      </c>
    </row>
    <row r="21" spans="2:22" s="61" customFormat="1">
      <c r="B21" s="62" t="s">
        <v>125</v>
      </c>
      <c r="C21" s="62">
        <v>1</v>
      </c>
      <c r="D21" s="62">
        <v>571</v>
      </c>
      <c r="E21" s="62">
        <v>4</v>
      </c>
      <c r="F21" s="62">
        <v>3</v>
      </c>
      <c r="G21" s="62" t="s">
        <v>136</v>
      </c>
      <c r="H21" s="62">
        <v>28</v>
      </c>
      <c r="I21" s="62" t="s">
        <v>174</v>
      </c>
      <c r="J21" s="63" t="s">
        <v>93</v>
      </c>
      <c r="K21" s="62">
        <v>50000</v>
      </c>
      <c r="L21" s="63"/>
      <c r="M21" s="63" t="s">
        <v>72</v>
      </c>
      <c r="N21" s="63"/>
      <c r="O21" s="62">
        <v>50827</v>
      </c>
      <c r="P21" s="62">
        <v>7227</v>
      </c>
      <c r="Q21" s="62">
        <v>1477</v>
      </c>
      <c r="R21" s="62" t="s">
        <v>147</v>
      </c>
      <c r="S21" s="62" t="s">
        <v>94</v>
      </c>
      <c r="T21" s="62">
        <v>50</v>
      </c>
      <c r="U21" s="62">
        <v>50</v>
      </c>
      <c r="V21" s="64" t="s">
        <v>95</v>
      </c>
    </row>
    <row r="22" spans="2:22" s="61" customFormat="1">
      <c r="B22" s="62" t="s">
        <v>125</v>
      </c>
      <c r="C22" s="62">
        <v>1</v>
      </c>
      <c r="D22" s="62">
        <v>571</v>
      </c>
      <c r="E22" s="62">
        <v>4</v>
      </c>
      <c r="F22" s="62">
        <v>5</v>
      </c>
      <c r="G22" s="62" t="s">
        <v>136</v>
      </c>
      <c r="H22" s="62">
        <v>29</v>
      </c>
      <c r="I22" s="62" t="s">
        <v>175</v>
      </c>
      <c r="J22" s="63" t="s">
        <v>93</v>
      </c>
      <c r="K22" s="62">
        <v>50000</v>
      </c>
      <c r="L22" s="63"/>
      <c r="M22" s="63" t="s">
        <v>72</v>
      </c>
      <c r="N22" s="63"/>
      <c r="O22" s="62">
        <v>50828</v>
      </c>
      <c r="P22" s="62">
        <v>7228</v>
      </c>
      <c r="Q22" s="62">
        <v>1478</v>
      </c>
      <c r="R22" s="62" t="s">
        <v>148</v>
      </c>
      <c r="S22" s="62" t="s">
        <v>94</v>
      </c>
      <c r="T22" s="62">
        <v>50</v>
      </c>
      <c r="U22" s="62">
        <v>50</v>
      </c>
      <c r="V22" s="64" t="s">
        <v>95</v>
      </c>
    </row>
    <row r="23" spans="2:22" s="61" customFormat="1">
      <c r="B23" s="62" t="s">
        <v>125</v>
      </c>
      <c r="C23" s="62">
        <v>1</v>
      </c>
      <c r="D23" s="62">
        <v>571</v>
      </c>
      <c r="E23" s="62">
        <v>4</v>
      </c>
      <c r="F23" s="62">
        <v>6</v>
      </c>
      <c r="G23" s="62" t="s">
        <v>136</v>
      </c>
      <c r="H23" s="62">
        <v>30</v>
      </c>
      <c r="I23" s="62" t="s">
        <v>176</v>
      </c>
      <c r="J23" s="63" t="s">
        <v>93</v>
      </c>
      <c r="K23" s="62">
        <v>50000</v>
      </c>
      <c r="L23" s="63"/>
      <c r="M23" s="63" t="s">
        <v>72</v>
      </c>
      <c r="N23" s="63"/>
      <c r="O23" s="62">
        <v>50829</v>
      </c>
      <c r="P23" s="62">
        <v>7229</v>
      </c>
      <c r="Q23" s="62">
        <v>1479</v>
      </c>
      <c r="R23" s="62" t="s">
        <v>149</v>
      </c>
      <c r="S23" s="62" t="s">
        <v>94</v>
      </c>
      <c r="T23" s="62">
        <v>50</v>
      </c>
      <c r="U23" s="62">
        <v>50</v>
      </c>
      <c r="V23" s="64" t="s">
        <v>95</v>
      </c>
    </row>
    <row r="24" spans="2:22" s="61" customFormat="1">
      <c r="B24" s="62" t="s">
        <v>125</v>
      </c>
      <c r="C24" s="62">
        <v>1</v>
      </c>
      <c r="D24" s="62">
        <v>571</v>
      </c>
      <c r="E24" s="62">
        <v>5</v>
      </c>
      <c r="F24" s="62">
        <v>7</v>
      </c>
      <c r="G24" s="62" t="s">
        <v>136</v>
      </c>
      <c r="H24" s="62">
        <v>31</v>
      </c>
      <c r="I24" s="62" t="s">
        <v>177</v>
      </c>
      <c r="J24" s="63" t="s">
        <v>93</v>
      </c>
      <c r="K24" s="62">
        <v>50000</v>
      </c>
      <c r="L24" s="63"/>
      <c r="M24" s="63" t="s">
        <v>72</v>
      </c>
      <c r="N24" s="63"/>
      <c r="O24" s="62">
        <v>50830</v>
      </c>
      <c r="P24" s="62">
        <v>7230</v>
      </c>
      <c r="Q24" s="62">
        <v>1480</v>
      </c>
      <c r="R24" s="62" t="s">
        <v>150</v>
      </c>
      <c r="S24" s="62" t="s">
        <v>94</v>
      </c>
      <c r="T24" s="62">
        <v>50</v>
      </c>
      <c r="U24" s="62">
        <v>50</v>
      </c>
      <c r="V24" s="64" t="s">
        <v>95</v>
      </c>
    </row>
    <row r="25" spans="2:22" s="61" customFormat="1">
      <c r="B25" s="62" t="s">
        <v>125</v>
      </c>
      <c r="C25" s="62">
        <v>1</v>
      </c>
      <c r="D25" s="62">
        <v>571</v>
      </c>
      <c r="E25" s="62">
        <v>5</v>
      </c>
      <c r="F25" s="62">
        <v>8</v>
      </c>
      <c r="G25" s="62" t="s">
        <v>136</v>
      </c>
      <c r="H25" s="62">
        <v>32</v>
      </c>
      <c r="I25" s="62" t="s">
        <v>178</v>
      </c>
      <c r="J25" s="63" t="s">
        <v>93</v>
      </c>
      <c r="K25" s="62">
        <v>50000</v>
      </c>
      <c r="L25" s="63"/>
      <c r="M25" s="63" t="s">
        <v>72</v>
      </c>
      <c r="N25" s="63"/>
      <c r="O25" s="62">
        <v>50831</v>
      </c>
      <c r="P25" s="62">
        <v>7231</v>
      </c>
      <c r="Q25" s="62">
        <v>1481</v>
      </c>
      <c r="R25" s="62" t="s">
        <v>151</v>
      </c>
      <c r="S25" s="62" t="s">
        <v>94</v>
      </c>
      <c r="T25" s="62">
        <v>50</v>
      </c>
      <c r="U25" s="62">
        <v>50</v>
      </c>
      <c r="V25" s="64" t="s">
        <v>95</v>
      </c>
    </row>
    <row r="26" spans="2:22" s="61" customFormat="1">
      <c r="B26" s="62" t="s">
        <v>125</v>
      </c>
      <c r="C26" s="62">
        <v>1</v>
      </c>
      <c r="D26" s="62">
        <v>571</v>
      </c>
      <c r="E26" s="62">
        <v>5</v>
      </c>
      <c r="F26" s="62">
        <v>4</v>
      </c>
      <c r="G26" s="62" t="s">
        <v>136</v>
      </c>
      <c r="H26" s="62">
        <v>29</v>
      </c>
      <c r="I26" s="62" t="s">
        <v>179</v>
      </c>
      <c r="J26" s="63" t="s">
        <v>93</v>
      </c>
      <c r="K26" s="62">
        <v>50000</v>
      </c>
      <c r="L26" s="63"/>
      <c r="M26" s="63" t="s">
        <v>73</v>
      </c>
      <c r="N26" s="63"/>
      <c r="O26" s="62">
        <v>50832</v>
      </c>
      <c r="P26" s="62">
        <v>7232</v>
      </c>
      <c r="Q26" s="62">
        <v>1482</v>
      </c>
      <c r="R26" s="62" t="s">
        <v>148</v>
      </c>
      <c r="S26" s="62" t="s">
        <v>94</v>
      </c>
      <c r="T26" s="62">
        <v>50</v>
      </c>
      <c r="U26" s="62">
        <v>50</v>
      </c>
      <c r="V26" s="64" t="s">
        <v>95</v>
      </c>
    </row>
    <row r="27" spans="2:22" s="61" customFormat="1">
      <c r="B27" s="62" t="s">
        <v>125</v>
      </c>
      <c r="C27" s="62">
        <v>1</v>
      </c>
      <c r="D27" s="62">
        <v>571</v>
      </c>
      <c r="E27" s="62">
        <v>5</v>
      </c>
      <c r="F27" s="62">
        <v>3</v>
      </c>
      <c r="G27" s="62" t="s">
        <v>136</v>
      </c>
      <c r="H27" s="62">
        <v>30</v>
      </c>
      <c r="I27" s="62" t="s">
        <v>180</v>
      </c>
      <c r="J27" s="63" t="s">
        <v>93</v>
      </c>
      <c r="K27" s="62">
        <v>50000</v>
      </c>
      <c r="L27" s="63"/>
      <c r="M27" s="63" t="s">
        <v>73</v>
      </c>
      <c r="N27" s="63"/>
      <c r="O27" s="62">
        <v>50833</v>
      </c>
      <c r="P27" s="62">
        <v>7233</v>
      </c>
      <c r="Q27" s="62">
        <v>1483</v>
      </c>
      <c r="R27" s="62" t="s">
        <v>149</v>
      </c>
      <c r="S27" s="62" t="s">
        <v>94</v>
      </c>
      <c r="T27" s="62">
        <v>50</v>
      </c>
      <c r="U27" s="62">
        <v>50</v>
      </c>
      <c r="V27" s="64" t="s">
        <v>95</v>
      </c>
    </row>
    <row r="28" spans="2:22" s="61" customFormat="1">
      <c r="B28" s="62" t="s">
        <v>125</v>
      </c>
      <c r="C28" s="62">
        <v>1</v>
      </c>
      <c r="D28" s="62">
        <v>571</v>
      </c>
      <c r="E28" s="62">
        <v>5</v>
      </c>
      <c r="F28" s="62">
        <v>5</v>
      </c>
      <c r="G28" s="62" t="s">
        <v>136</v>
      </c>
      <c r="H28" s="62">
        <v>31</v>
      </c>
      <c r="I28" s="62" t="s">
        <v>181</v>
      </c>
      <c r="J28" s="63" t="s">
        <v>93</v>
      </c>
      <c r="K28" s="62">
        <v>50000</v>
      </c>
      <c r="L28" s="63"/>
      <c r="M28" s="63" t="s">
        <v>73</v>
      </c>
      <c r="N28" s="63"/>
      <c r="O28" s="62">
        <v>50834</v>
      </c>
      <c r="P28" s="62">
        <v>7234</v>
      </c>
      <c r="Q28" s="62">
        <v>1484</v>
      </c>
      <c r="R28" s="62" t="s">
        <v>150</v>
      </c>
      <c r="S28" s="62" t="s">
        <v>94</v>
      </c>
      <c r="T28" s="62">
        <v>50</v>
      </c>
      <c r="U28" s="62">
        <v>50</v>
      </c>
      <c r="V28" s="64" t="s">
        <v>95</v>
      </c>
    </row>
    <row r="29" spans="2:22" s="61" customFormat="1">
      <c r="B29" s="62" t="s">
        <v>125</v>
      </c>
      <c r="C29" s="62">
        <v>1</v>
      </c>
      <c r="D29" s="62">
        <v>571</v>
      </c>
      <c r="E29" s="62">
        <v>5</v>
      </c>
      <c r="F29" s="62">
        <v>6</v>
      </c>
      <c r="G29" s="62" t="s">
        <v>136</v>
      </c>
      <c r="H29" s="62">
        <v>32</v>
      </c>
      <c r="I29" s="62" t="s">
        <v>182</v>
      </c>
      <c r="J29" s="63" t="s">
        <v>93</v>
      </c>
      <c r="K29" s="62">
        <v>50000</v>
      </c>
      <c r="L29" s="63"/>
      <c r="M29" s="63" t="s">
        <v>73</v>
      </c>
      <c r="N29" s="63"/>
      <c r="O29" s="62">
        <v>50835</v>
      </c>
      <c r="P29" s="62">
        <v>7235</v>
      </c>
      <c r="Q29" s="62">
        <v>1485</v>
      </c>
      <c r="R29" s="62" t="s">
        <v>151</v>
      </c>
      <c r="S29" s="62" t="s">
        <v>94</v>
      </c>
      <c r="T29" s="62">
        <v>50</v>
      </c>
      <c r="U29" s="62">
        <v>50</v>
      </c>
      <c r="V29" s="64" t="s">
        <v>95</v>
      </c>
    </row>
    <row r="30" spans="2:22" s="61" customFormat="1">
      <c r="B30" s="62" t="s">
        <v>125</v>
      </c>
      <c r="C30" s="62">
        <v>1</v>
      </c>
      <c r="D30" s="62">
        <v>571</v>
      </c>
      <c r="E30" s="62">
        <v>6</v>
      </c>
      <c r="F30" s="62">
        <v>7</v>
      </c>
      <c r="G30" s="62" t="s">
        <v>136</v>
      </c>
      <c r="H30" s="62">
        <v>29</v>
      </c>
      <c r="I30" s="62" t="s">
        <v>183</v>
      </c>
      <c r="J30" s="63" t="s">
        <v>93</v>
      </c>
      <c r="K30" s="62">
        <v>50000</v>
      </c>
      <c r="L30" s="63"/>
      <c r="M30" s="63" t="s">
        <v>73</v>
      </c>
      <c r="N30" s="63"/>
      <c r="O30" s="62">
        <v>50836</v>
      </c>
      <c r="P30" s="62">
        <v>7236</v>
      </c>
      <c r="Q30" s="62">
        <v>1486</v>
      </c>
      <c r="R30" s="62" t="s">
        <v>152</v>
      </c>
      <c r="S30" s="62" t="s">
        <v>94</v>
      </c>
      <c r="T30" s="62">
        <v>50</v>
      </c>
      <c r="U30" s="62">
        <v>50</v>
      </c>
      <c r="V30" s="64" t="s">
        <v>95</v>
      </c>
    </row>
    <row r="31" spans="2:22" s="61" customFormat="1">
      <c r="B31" s="62" t="s">
        <v>125</v>
      </c>
      <c r="C31" s="62">
        <v>1</v>
      </c>
      <c r="D31" s="62">
        <v>571</v>
      </c>
      <c r="E31" s="62">
        <v>6</v>
      </c>
      <c r="F31" s="62">
        <v>8</v>
      </c>
      <c r="G31" s="62" t="s">
        <v>136</v>
      </c>
      <c r="H31" s="62">
        <v>30</v>
      </c>
      <c r="I31" s="62" t="s">
        <v>184</v>
      </c>
      <c r="J31" s="63" t="s">
        <v>93</v>
      </c>
      <c r="K31" s="62">
        <v>50000</v>
      </c>
      <c r="L31" s="63"/>
      <c r="M31" s="63" t="s">
        <v>73</v>
      </c>
      <c r="N31" s="63"/>
      <c r="O31" s="62">
        <v>50837</v>
      </c>
      <c r="P31" s="62">
        <v>7237</v>
      </c>
      <c r="Q31" s="62">
        <v>1487</v>
      </c>
      <c r="R31" s="62" t="s">
        <v>153</v>
      </c>
      <c r="S31" s="62" t="s">
        <v>94</v>
      </c>
      <c r="T31" s="62">
        <v>50</v>
      </c>
      <c r="U31" s="62">
        <v>50</v>
      </c>
      <c r="V31" s="64" t="s">
        <v>95</v>
      </c>
    </row>
    <row r="32" spans="2:22" s="61" customFormat="1">
      <c r="B32" s="62" t="s">
        <v>125</v>
      </c>
      <c r="C32" s="62">
        <v>1</v>
      </c>
      <c r="D32" s="62">
        <v>571</v>
      </c>
      <c r="E32" s="62">
        <v>6</v>
      </c>
      <c r="F32" s="62">
        <v>4</v>
      </c>
      <c r="G32" s="62" t="s">
        <v>136</v>
      </c>
      <c r="H32" s="62">
        <v>31</v>
      </c>
      <c r="I32" s="62" t="s">
        <v>185</v>
      </c>
      <c r="J32" s="63" t="s">
        <v>93</v>
      </c>
      <c r="K32" s="62">
        <v>50000</v>
      </c>
      <c r="L32" s="63"/>
      <c r="M32" s="63" t="s">
        <v>73</v>
      </c>
      <c r="N32" s="63"/>
      <c r="O32" s="62">
        <v>50838</v>
      </c>
      <c r="P32" s="62">
        <v>7238</v>
      </c>
      <c r="Q32" s="62">
        <v>1488</v>
      </c>
      <c r="R32" s="62" t="s">
        <v>154</v>
      </c>
      <c r="S32" s="62" t="s">
        <v>94</v>
      </c>
      <c r="T32" s="62">
        <v>50</v>
      </c>
      <c r="U32" s="62">
        <v>50</v>
      </c>
      <c r="V32" s="64" t="s">
        <v>95</v>
      </c>
    </row>
    <row r="33" spans="2:22" s="61" customFormat="1">
      <c r="B33" s="62" t="s">
        <v>125</v>
      </c>
      <c r="C33" s="62">
        <v>1</v>
      </c>
      <c r="D33" s="62">
        <v>571</v>
      </c>
      <c r="E33" s="62">
        <v>6</v>
      </c>
      <c r="F33" s="62">
        <v>3</v>
      </c>
      <c r="G33" s="62" t="s">
        <v>136</v>
      </c>
      <c r="H33" s="62">
        <v>32</v>
      </c>
      <c r="I33" s="62" t="s">
        <v>186</v>
      </c>
      <c r="J33" s="63" t="s">
        <v>93</v>
      </c>
      <c r="K33" s="62">
        <v>50000</v>
      </c>
      <c r="L33" s="62"/>
      <c r="M33" s="62" t="s">
        <v>73</v>
      </c>
      <c r="N33" s="63"/>
      <c r="O33" s="62">
        <v>50839</v>
      </c>
      <c r="P33" s="62">
        <v>7239</v>
      </c>
      <c r="Q33" s="62">
        <v>1489</v>
      </c>
      <c r="R33" s="62" t="s">
        <v>155</v>
      </c>
      <c r="S33" s="62" t="s">
        <v>94</v>
      </c>
      <c r="T33" s="62">
        <v>50</v>
      </c>
      <c r="U33" s="62">
        <v>50</v>
      </c>
      <c r="V33" s="64" t="s">
        <v>95</v>
      </c>
    </row>
    <row r="34" spans="2:22" s="61" customFormat="1">
      <c r="B34" s="62" t="s">
        <v>125</v>
      </c>
      <c r="C34" s="62">
        <v>1</v>
      </c>
      <c r="D34" s="62">
        <v>571</v>
      </c>
      <c r="E34" s="62">
        <v>6</v>
      </c>
      <c r="F34" s="62">
        <v>5</v>
      </c>
      <c r="G34" s="62" t="s">
        <v>136</v>
      </c>
      <c r="H34" s="62">
        <v>29</v>
      </c>
      <c r="I34" s="62" t="s">
        <v>187</v>
      </c>
      <c r="J34" s="63" t="s">
        <v>93</v>
      </c>
      <c r="K34" s="62">
        <v>50000</v>
      </c>
      <c r="L34" s="62"/>
      <c r="M34" s="62" t="s">
        <v>73</v>
      </c>
      <c r="N34" s="63"/>
      <c r="O34" s="62">
        <v>50840</v>
      </c>
      <c r="P34" s="62">
        <v>7240</v>
      </c>
      <c r="Q34" s="62">
        <v>1490</v>
      </c>
      <c r="R34" s="62" t="s">
        <v>156</v>
      </c>
      <c r="S34" s="62" t="s">
        <v>94</v>
      </c>
      <c r="T34" s="62">
        <v>50</v>
      </c>
      <c r="U34" s="62">
        <v>50</v>
      </c>
      <c r="V34" s="64" t="s">
        <v>95</v>
      </c>
    </row>
    <row r="35" spans="2:22" s="61" customFormat="1">
      <c r="B35" s="62" t="s">
        <v>125</v>
      </c>
      <c r="C35" s="62">
        <v>1</v>
      </c>
      <c r="D35" s="62">
        <v>571</v>
      </c>
      <c r="E35" s="62">
        <v>6</v>
      </c>
      <c r="F35" s="62">
        <v>6</v>
      </c>
      <c r="G35" s="62" t="s">
        <v>136</v>
      </c>
      <c r="H35" s="62">
        <v>30</v>
      </c>
      <c r="I35" s="62" t="s">
        <v>188</v>
      </c>
      <c r="J35" s="63" t="s">
        <v>93</v>
      </c>
      <c r="K35" s="62">
        <v>50000</v>
      </c>
      <c r="L35" s="62"/>
      <c r="M35" s="62" t="s">
        <v>73</v>
      </c>
      <c r="N35" s="63"/>
      <c r="O35" s="62">
        <v>50841</v>
      </c>
      <c r="P35" s="62">
        <v>7241</v>
      </c>
      <c r="Q35" s="62">
        <v>1491</v>
      </c>
      <c r="R35" s="62" t="s">
        <v>157</v>
      </c>
      <c r="S35" s="62" t="s">
        <v>94</v>
      </c>
      <c r="T35" s="62">
        <v>50</v>
      </c>
      <c r="U35" s="62">
        <v>50</v>
      </c>
      <c r="V35" s="64" t="s">
        <v>95</v>
      </c>
    </row>
    <row r="36" spans="2:22">
      <c r="B36" s="62" t="s">
        <v>125</v>
      </c>
      <c r="C36" s="62">
        <v>1</v>
      </c>
      <c r="D36" s="62">
        <v>571</v>
      </c>
      <c r="E36" s="62">
        <v>8</v>
      </c>
      <c r="F36" s="62">
        <v>7</v>
      </c>
      <c r="G36" s="62" t="s">
        <v>136</v>
      </c>
      <c r="H36" s="62">
        <v>31</v>
      </c>
      <c r="I36" s="62" t="s">
        <v>189</v>
      </c>
      <c r="J36" s="63" t="s">
        <v>93</v>
      </c>
      <c r="K36" s="62">
        <v>50000</v>
      </c>
      <c r="L36" s="63"/>
      <c r="M36" s="63" t="s">
        <v>73</v>
      </c>
      <c r="N36" s="63"/>
      <c r="O36" s="62">
        <v>50842</v>
      </c>
      <c r="P36" s="62">
        <v>7242</v>
      </c>
      <c r="Q36" s="62">
        <v>1492</v>
      </c>
      <c r="R36" s="62" t="s">
        <v>158</v>
      </c>
      <c r="S36" s="62" t="s">
        <v>94</v>
      </c>
      <c r="T36" s="62">
        <v>50</v>
      </c>
      <c r="U36" s="62">
        <v>50</v>
      </c>
      <c r="V36" s="64" t="s">
        <v>95</v>
      </c>
    </row>
    <row r="37" spans="2:22">
      <c r="B37" s="62" t="s">
        <v>125</v>
      </c>
      <c r="C37" s="62">
        <v>1</v>
      </c>
      <c r="D37" s="62">
        <v>571</v>
      </c>
      <c r="E37" s="62">
        <v>8</v>
      </c>
      <c r="F37" s="62">
        <v>8</v>
      </c>
      <c r="G37" s="62" t="s">
        <v>136</v>
      </c>
      <c r="H37" s="62">
        <v>32</v>
      </c>
      <c r="I37" s="62" t="s">
        <v>190</v>
      </c>
      <c r="J37" s="63" t="s">
        <v>93</v>
      </c>
      <c r="K37" s="62">
        <v>50000</v>
      </c>
      <c r="L37" s="63"/>
      <c r="M37" s="63" t="s">
        <v>73</v>
      </c>
      <c r="N37" s="63"/>
      <c r="O37" s="62">
        <v>50843</v>
      </c>
      <c r="P37" s="62">
        <v>7243</v>
      </c>
      <c r="Q37" s="62">
        <v>1493</v>
      </c>
      <c r="R37" s="62" t="s">
        <v>159</v>
      </c>
      <c r="S37" s="62" t="s">
        <v>94</v>
      </c>
      <c r="T37" s="62">
        <v>50</v>
      </c>
      <c r="U37" s="62">
        <v>50</v>
      </c>
      <c r="V37" s="64" t="s">
        <v>95</v>
      </c>
    </row>
    <row r="38" spans="2:22">
      <c r="B38" s="62" t="s">
        <v>125</v>
      </c>
      <c r="C38" s="62">
        <v>1</v>
      </c>
      <c r="D38" s="62">
        <v>571</v>
      </c>
      <c r="E38" s="62">
        <v>8</v>
      </c>
      <c r="F38" s="62">
        <v>4</v>
      </c>
      <c r="G38" s="62" t="s">
        <v>136</v>
      </c>
      <c r="H38" s="62">
        <v>29</v>
      </c>
      <c r="I38" s="62" t="s">
        <v>191</v>
      </c>
      <c r="J38" s="63" t="s">
        <v>93</v>
      </c>
      <c r="K38" s="62">
        <v>50000</v>
      </c>
      <c r="L38" s="63"/>
      <c r="M38" s="63" t="s">
        <v>73</v>
      </c>
      <c r="N38" s="63"/>
      <c r="O38" s="62">
        <v>50844</v>
      </c>
      <c r="P38" s="62">
        <v>7244</v>
      </c>
      <c r="Q38" s="62">
        <v>1494</v>
      </c>
      <c r="R38" s="62" t="s">
        <v>160</v>
      </c>
      <c r="S38" s="62" t="s">
        <v>94</v>
      </c>
      <c r="T38" s="62">
        <v>50</v>
      </c>
      <c r="U38" s="62">
        <v>50</v>
      </c>
      <c r="V38" s="64" t="s">
        <v>95</v>
      </c>
    </row>
    <row r="39" spans="2:22">
      <c r="B39" s="62" t="s">
        <v>125</v>
      </c>
      <c r="C39" s="62">
        <v>1</v>
      </c>
      <c r="D39" s="62">
        <v>571</v>
      </c>
      <c r="E39" s="62">
        <v>8</v>
      </c>
      <c r="F39" s="62">
        <v>3</v>
      </c>
      <c r="G39" s="62" t="s">
        <v>136</v>
      </c>
      <c r="H39" s="62">
        <v>30</v>
      </c>
      <c r="I39" s="62" t="s">
        <v>192</v>
      </c>
      <c r="J39" s="63" t="s">
        <v>93</v>
      </c>
      <c r="K39" s="62">
        <v>50000</v>
      </c>
      <c r="L39" s="63"/>
      <c r="M39" s="63" t="s">
        <v>73</v>
      </c>
      <c r="N39" s="63"/>
      <c r="O39" s="62">
        <v>50845</v>
      </c>
      <c r="P39" s="62">
        <v>7245</v>
      </c>
      <c r="Q39" s="62">
        <v>1495</v>
      </c>
      <c r="R39" s="62" t="s">
        <v>161</v>
      </c>
      <c r="S39" s="62" t="s">
        <v>94</v>
      </c>
      <c r="T39" s="62">
        <v>50</v>
      </c>
      <c r="U39" s="62">
        <v>50</v>
      </c>
      <c r="V39" s="64" t="s">
        <v>95</v>
      </c>
    </row>
    <row r="40" spans="2:22">
      <c r="B40" s="62" t="s">
        <v>125</v>
      </c>
      <c r="C40" s="62">
        <v>1</v>
      </c>
      <c r="D40" s="62">
        <v>571</v>
      </c>
      <c r="E40" s="62">
        <v>8</v>
      </c>
      <c r="F40" s="62">
        <v>5</v>
      </c>
      <c r="G40" s="62" t="s">
        <v>136</v>
      </c>
      <c r="H40" s="62">
        <v>31</v>
      </c>
      <c r="I40" s="62" t="s">
        <v>193</v>
      </c>
      <c r="J40" s="63" t="s">
        <v>93</v>
      </c>
      <c r="K40" s="62">
        <v>50000</v>
      </c>
      <c r="L40" s="63"/>
      <c r="M40" s="63" t="s">
        <v>73</v>
      </c>
      <c r="N40" s="63"/>
      <c r="O40" s="62">
        <v>50846</v>
      </c>
      <c r="P40" s="62">
        <v>7246</v>
      </c>
      <c r="Q40" s="62">
        <v>1496</v>
      </c>
      <c r="R40" s="62" t="s">
        <v>162</v>
      </c>
      <c r="S40" s="62" t="s">
        <v>94</v>
      </c>
      <c r="T40" s="62">
        <v>50</v>
      </c>
      <c r="U40" s="62">
        <v>50</v>
      </c>
      <c r="V40" s="64" t="s">
        <v>95</v>
      </c>
    </row>
    <row r="41" spans="2:22">
      <c r="B41" s="62" t="s">
        <v>125</v>
      </c>
      <c r="C41" s="62">
        <v>1</v>
      </c>
      <c r="D41" s="62">
        <v>571</v>
      </c>
      <c r="E41" s="62">
        <v>8</v>
      </c>
      <c r="F41" s="62">
        <v>6</v>
      </c>
      <c r="G41" s="62" t="s">
        <v>136</v>
      </c>
      <c r="H41" s="62">
        <v>32</v>
      </c>
      <c r="I41" s="62" t="s">
        <v>194</v>
      </c>
      <c r="J41" s="63" t="s">
        <v>93</v>
      </c>
      <c r="K41" s="62">
        <v>50000</v>
      </c>
      <c r="L41" s="63"/>
      <c r="M41" s="63" t="s">
        <v>73</v>
      </c>
      <c r="N41" s="63"/>
      <c r="O41" s="62">
        <v>50847</v>
      </c>
      <c r="P41" s="62">
        <v>7247</v>
      </c>
      <c r="Q41" s="62">
        <v>1497</v>
      </c>
      <c r="R41" s="62" t="s">
        <v>163</v>
      </c>
      <c r="S41" s="62" t="s">
        <v>94</v>
      </c>
      <c r="T41" s="62">
        <v>50</v>
      </c>
      <c r="U41" s="62">
        <v>50</v>
      </c>
      <c r="V41" s="64" t="s">
        <v>95</v>
      </c>
    </row>
    <row r="42" spans="2:22">
      <c r="B42" s="62"/>
      <c r="C42" s="62"/>
      <c r="D42" s="65"/>
      <c r="E42" s="62"/>
      <c r="F42" s="62"/>
      <c r="G42" s="62"/>
      <c r="H42" s="62"/>
      <c r="I42" s="62"/>
      <c r="J42" s="63"/>
      <c r="K42" s="62"/>
      <c r="L42" s="63"/>
      <c r="M42" s="63"/>
      <c r="N42" s="63"/>
      <c r="O42" s="62"/>
      <c r="P42" s="62"/>
      <c r="Q42" s="62"/>
      <c r="R42" s="62"/>
      <c r="S42" s="62"/>
      <c r="T42" s="62"/>
      <c r="U42" s="62"/>
      <c r="V42" s="64"/>
    </row>
    <row r="43" spans="2:22">
      <c r="B43" s="62"/>
      <c r="C43" s="62"/>
      <c r="D43" s="65"/>
      <c r="E43" s="62"/>
      <c r="F43" s="62"/>
      <c r="G43" s="62"/>
      <c r="H43" s="62"/>
      <c r="I43" s="62"/>
      <c r="J43" s="63"/>
      <c r="K43" s="62"/>
      <c r="L43" s="63"/>
      <c r="M43" s="63"/>
      <c r="N43" s="63"/>
      <c r="O43" s="62"/>
      <c r="P43" s="62"/>
      <c r="Q43" s="62"/>
      <c r="R43" s="62"/>
      <c r="S43" s="62"/>
      <c r="T43" s="62"/>
      <c r="U43" s="62"/>
      <c r="V43" s="64"/>
    </row>
    <row r="44" spans="2:22">
      <c r="B44" s="62"/>
      <c r="C44" s="62"/>
      <c r="D44" s="65"/>
      <c r="E44" s="62"/>
      <c r="F44" s="62"/>
      <c r="G44" s="62"/>
      <c r="H44" s="62"/>
      <c r="I44" s="62"/>
      <c r="J44" s="63"/>
      <c r="K44" s="62"/>
      <c r="L44" s="63"/>
      <c r="M44" s="63"/>
      <c r="N44" s="63"/>
      <c r="O44" s="62"/>
      <c r="P44" s="62"/>
      <c r="Q44" s="62"/>
      <c r="R44" s="62"/>
      <c r="S44" s="62"/>
      <c r="T44" s="62"/>
      <c r="U44" s="62"/>
      <c r="V44" s="64"/>
    </row>
    <row r="45" spans="2:22">
      <c r="B45" s="62"/>
      <c r="C45" s="62"/>
      <c r="D45" s="62"/>
      <c r="E45" s="62"/>
      <c r="F45" s="62"/>
      <c r="G45" s="62"/>
      <c r="H45" s="62"/>
      <c r="I45" s="62"/>
      <c r="J45" s="63"/>
      <c r="K45" s="62"/>
      <c r="L45" s="62"/>
      <c r="M45" s="62"/>
      <c r="N45" s="63"/>
      <c r="O45" s="62"/>
      <c r="P45" s="62"/>
      <c r="Q45" s="62"/>
      <c r="R45" s="62"/>
      <c r="S45" s="62"/>
      <c r="T45" s="62"/>
      <c r="U45" s="62"/>
      <c r="V45" s="64"/>
    </row>
    <row r="46" spans="2:22">
      <c r="B46" s="62"/>
      <c r="C46" s="62"/>
      <c r="D46" s="62"/>
      <c r="E46" s="62"/>
      <c r="F46" s="62"/>
      <c r="G46" s="62"/>
      <c r="H46" s="62"/>
      <c r="I46" s="62"/>
      <c r="J46" s="63"/>
      <c r="K46" s="62"/>
      <c r="L46" s="62"/>
      <c r="M46" s="62"/>
      <c r="N46" s="63"/>
      <c r="O46" s="62"/>
      <c r="P46" s="62"/>
      <c r="Q46" s="62"/>
      <c r="R46" s="62"/>
      <c r="S46" s="62"/>
      <c r="T46" s="62"/>
      <c r="U46" s="62"/>
      <c r="V46" s="64"/>
    </row>
    <row r="47" spans="2:22">
      <c r="B47" s="62"/>
      <c r="C47" s="62"/>
      <c r="D47" s="62"/>
      <c r="E47" s="62"/>
      <c r="F47" s="62"/>
      <c r="G47" s="62"/>
      <c r="H47" s="62"/>
      <c r="I47" s="62"/>
      <c r="J47" s="63"/>
      <c r="K47" s="62"/>
      <c r="L47" s="62"/>
      <c r="M47" s="62"/>
      <c r="N47" s="63"/>
      <c r="O47" s="62"/>
      <c r="P47" s="62"/>
      <c r="Q47" s="62"/>
      <c r="R47" s="62"/>
      <c r="S47" s="62"/>
      <c r="T47" s="62"/>
      <c r="U47" s="62"/>
      <c r="V47" s="64"/>
    </row>
    <row r="48" spans="2:22">
      <c r="B48" s="56"/>
      <c r="C48" s="56"/>
      <c r="D48" s="56"/>
      <c r="E48" s="56"/>
      <c r="F48" s="56"/>
      <c r="G48" s="57"/>
      <c r="H48" s="56"/>
      <c r="I48" s="56"/>
      <c r="J48" s="58"/>
      <c r="K48" s="56"/>
      <c r="L48" s="56"/>
      <c r="M48" s="57"/>
      <c r="N48" s="56"/>
      <c r="O48" s="56"/>
      <c r="P48" s="56"/>
      <c r="Q48" s="56"/>
      <c r="R48" s="58"/>
      <c r="S48" s="56"/>
      <c r="T48" s="56"/>
      <c r="U48" s="56"/>
      <c r="V48" s="59"/>
    </row>
    <row r="49" spans="1:22">
      <c r="B49" s="61" t="s">
        <v>40</v>
      </c>
      <c r="C49" s="56"/>
      <c r="D49" s="56"/>
      <c r="E49" s="56"/>
      <c r="F49" s="56"/>
      <c r="G49" s="57"/>
      <c r="H49" s="56"/>
      <c r="I49" s="56"/>
      <c r="J49" s="58"/>
      <c r="K49" s="56"/>
      <c r="L49" s="56"/>
      <c r="M49" s="57"/>
      <c r="N49" s="56"/>
      <c r="O49" s="56"/>
      <c r="P49" s="56"/>
      <c r="Q49" s="56"/>
      <c r="R49" s="58"/>
      <c r="S49" s="56"/>
      <c r="T49" s="56"/>
      <c r="U49" s="56"/>
      <c r="V49" s="59"/>
    </row>
    <row r="50" spans="1:22">
      <c r="B50" s="27" t="s">
        <v>42</v>
      </c>
      <c r="C50" s="17"/>
      <c r="D50" s="17"/>
      <c r="E50" s="17"/>
      <c r="F50" s="17"/>
      <c r="G50" s="17"/>
      <c r="H50" s="17"/>
      <c r="I50" s="18"/>
      <c r="J50" s="18"/>
      <c r="K50" s="17"/>
      <c r="L50" s="17"/>
      <c r="M50" s="17"/>
      <c r="N50" s="17"/>
      <c r="O50" s="17"/>
      <c r="P50" s="17"/>
    </row>
    <row r="51" spans="1:22">
      <c r="B51" s="27" t="str">
        <f ca="1">CONCATENATE("!*** Date: ",YEAR(R1),"-",MONTH(R1),"-",DAY(R1)," *************************!")</f>
        <v>!*** Date: 2016-3-18 *************************!</v>
      </c>
      <c r="C51" s="17"/>
      <c r="D51" s="17"/>
      <c r="E51" s="17"/>
      <c r="F51" s="17"/>
      <c r="G51" s="17"/>
      <c r="H51" s="17"/>
      <c r="I51" s="18"/>
      <c r="J51" s="61"/>
      <c r="K51" s="61"/>
      <c r="L51" s="61"/>
      <c r="M51" s="17"/>
      <c r="N51" s="17"/>
      <c r="O51" s="17"/>
      <c r="P51" s="17"/>
    </row>
    <row r="52" spans="1:22">
      <c r="B52" s="27" t="s">
        <v>40</v>
      </c>
      <c r="J52" s="61"/>
      <c r="K52" s="61"/>
      <c r="L52" s="61"/>
    </row>
    <row r="53" spans="1:22">
      <c r="J53" s="61"/>
      <c r="K53" s="61"/>
      <c r="L53" s="61"/>
    </row>
    <row r="54" spans="1:22">
      <c r="B54" s="60" t="s">
        <v>38</v>
      </c>
      <c r="J54" s="61"/>
      <c r="K54" s="61"/>
      <c r="L54" s="61"/>
    </row>
    <row r="55" spans="1:22">
      <c r="B55" s="60" t="s">
        <v>96</v>
      </c>
      <c r="J55" s="61"/>
      <c r="K55" s="61"/>
      <c r="L55" s="61"/>
    </row>
    <row r="56" spans="1:22">
      <c r="B56" s="27" t="str">
        <f t="shared" ref="B56:B61" si="0">IF(H6&lt;&gt;"",CONCATENATE("ZQRN:BCSU,",E6,":PCU2E,",F6,":IFETH0,IFETH1:""",I6,""",",RIGHT(J6,2),",L;"),"")</f>
        <v>ZQRN:BCSU,2:PCU2E,7:IFETH0,IFETH1:"10.170.34.80",25,L;</v>
      </c>
      <c r="J56" s="61"/>
      <c r="K56" s="61"/>
      <c r="L56" s="61"/>
    </row>
    <row r="57" spans="1:22">
      <c r="B57" s="27" t="str">
        <f t="shared" si="0"/>
        <v>ZQRN:BCSU,2:PCU2E,8:IFETH0,IFETH1:"10.170.34.81",25,L;</v>
      </c>
      <c r="J57" s="61"/>
      <c r="K57" s="61"/>
      <c r="L57" s="61"/>
    </row>
    <row r="58" spans="1:22">
      <c r="B58" s="27" t="str">
        <f t="shared" si="0"/>
        <v>ZQRN:BCSU,2:PCU2E,4:IFETH0,IFETH1:"10.170.34.82",25,L;</v>
      </c>
      <c r="J58" s="61"/>
      <c r="K58" s="61"/>
      <c r="L58" s="61"/>
    </row>
    <row r="59" spans="1:22">
      <c r="B59" s="27" t="str">
        <f t="shared" si="0"/>
        <v>ZQRN:BCSU,2:PCU2E,3:IFETH0,IFETH1:"10.170.34.83",25,L;</v>
      </c>
      <c r="J59" s="61"/>
      <c r="K59" s="61"/>
      <c r="L59" s="61"/>
    </row>
    <row r="60" spans="1:22">
      <c r="A60" s="61"/>
      <c r="B60" s="27" t="str">
        <f t="shared" si="0"/>
        <v>ZQRN:BCSU,2:PCU2E,5:IFETH0,IFETH1:"10.170.34.84",25,L;</v>
      </c>
    </row>
    <row r="61" spans="1:22">
      <c r="A61" s="61"/>
      <c r="B61" s="27" t="str">
        <f t="shared" si="0"/>
        <v>ZQRN:BCSU,2:PCU2E,6:IFETH0,IFETH1:"10.170.34.85",25,L;</v>
      </c>
    </row>
    <row r="62" spans="1:22">
      <c r="A62" s="61"/>
      <c r="B62" s="61" t="str">
        <f t="shared" ref="B62:B97" si="1">IF(H12&lt;&gt;"",CONCATENATE("ZQRN:BCSU,",E12,":PCU2E,",F12,":IFETH0,IFETH1:""",I12,""",",RIGHT(J12,2),",L;"),"")</f>
        <v>ZQRN:BCSU,3:PCU2E,7:IFETH0,IFETH1:"10.170.34.86",25,L;</v>
      </c>
    </row>
    <row r="63" spans="1:22">
      <c r="A63" s="61"/>
      <c r="B63" s="61" t="str">
        <f t="shared" si="1"/>
        <v>ZQRN:BCSU,3:PCU2E,8:IFETH0,IFETH1:"10.170.34.87",25,L;</v>
      </c>
    </row>
    <row r="64" spans="1:22">
      <c r="A64" s="61"/>
      <c r="B64" s="61" t="str">
        <f t="shared" si="1"/>
        <v>ZQRN:BCSU,3:PCU2E,4:IFETH0,IFETH1:"10.170.34.88",25,L;</v>
      </c>
    </row>
    <row r="65" spans="1:16">
      <c r="A65" s="61"/>
      <c r="B65" s="61" t="str">
        <f t="shared" si="1"/>
        <v>ZQRN:BCSU,3:PCU2E,3:IFETH0,IFETH1:"10.170.34.89",25,L;</v>
      </c>
    </row>
    <row r="66" spans="1:16">
      <c r="A66" s="61"/>
      <c r="B66" s="61" t="str">
        <f t="shared" si="1"/>
        <v>ZQRN:BCSU,3:PCU2E,5:IFETH0,IFETH1:"10.170.34.90",25,L;</v>
      </c>
    </row>
    <row r="67" spans="1:16">
      <c r="A67" s="61"/>
      <c r="B67" s="61" t="str">
        <f t="shared" si="1"/>
        <v>ZQRN:BCSU,3:PCU2E,6:IFETH0,IFETH1:"10.170.34.91",25,L;</v>
      </c>
    </row>
    <row r="68" spans="1:16" s="8" customFormat="1">
      <c r="A68" s="61"/>
      <c r="B68" s="61" t="str">
        <f t="shared" si="1"/>
        <v>ZQRN:BCSU,4:PCU2E,7:IFETH0,IFETH1:"10.170.34.92",25,L;</v>
      </c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</row>
    <row r="69" spans="1:16">
      <c r="A69" s="61"/>
      <c r="B69" s="61" t="str">
        <f t="shared" si="1"/>
        <v>ZQRN:BCSU,4:PCU2E,8:IFETH0,IFETH1:"10.170.34.93",25,L;</v>
      </c>
    </row>
    <row r="70" spans="1:16">
      <c r="A70" s="61"/>
      <c r="B70" s="61" t="str">
        <f t="shared" si="1"/>
        <v>ZQRN:BCSU,4:PCU2E,4:IFETH0,IFETH1:"10.170.34.94",25,L;</v>
      </c>
    </row>
    <row r="71" spans="1:16">
      <c r="A71" s="61"/>
      <c r="B71" s="61" t="str">
        <f t="shared" si="1"/>
        <v>ZQRN:BCSU,4:PCU2E,3:IFETH0,IFETH1:"10.170.34.95",25,L;</v>
      </c>
    </row>
    <row r="72" spans="1:16">
      <c r="A72" s="61"/>
      <c r="B72" s="61" t="str">
        <f t="shared" si="1"/>
        <v>ZQRN:BCSU,4:PCU2E,5:IFETH0,IFETH1:"10.170.34.96",25,L;</v>
      </c>
    </row>
    <row r="73" spans="1:16">
      <c r="A73" s="61"/>
      <c r="B73" s="61" t="str">
        <f t="shared" si="1"/>
        <v>ZQRN:BCSU,4:PCU2E,6:IFETH0,IFETH1:"10.170.34.97",25,L;</v>
      </c>
    </row>
    <row r="74" spans="1:16" s="61" customFormat="1">
      <c r="B74" s="61" t="str">
        <f t="shared" si="1"/>
        <v>ZQRN:BCSU,5:PCU2E,7:IFETH0,IFETH1:"10.170.34.98",25,L;</v>
      </c>
      <c r="C74" s="8"/>
    </row>
    <row r="75" spans="1:16" s="61" customFormat="1">
      <c r="B75" s="61" t="str">
        <f t="shared" si="1"/>
        <v>ZQRN:BCSU,5:PCU2E,8:IFETH0,IFETH1:"10.170.34.99",25,L;</v>
      </c>
      <c r="C75" s="8"/>
    </row>
    <row r="76" spans="1:16" s="61" customFormat="1">
      <c r="B76" s="61" t="str">
        <f t="shared" si="1"/>
        <v>ZQRN:BCSU,5:PCU2E,4:IFETH0,IFETH1:"10.170.34.100",25,L;</v>
      </c>
      <c r="C76" s="8"/>
    </row>
    <row r="77" spans="1:16" s="61" customFormat="1">
      <c r="B77" s="61" t="str">
        <f t="shared" si="1"/>
        <v>ZQRN:BCSU,5:PCU2E,3:IFETH0,IFETH1:"10.170.34.101",25,L;</v>
      </c>
      <c r="C77" s="8"/>
    </row>
    <row r="78" spans="1:16" s="61" customFormat="1">
      <c r="B78" s="61" t="str">
        <f t="shared" si="1"/>
        <v>ZQRN:BCSU,5:PCU2E,5:IFETH0,IFETH1:"10.170.34.102",25,L;</v>
      </c>
      <c r="C78" s="8"/>
    </row>
    <row r="79" spans="1:16" s="61" customFormat="1">
      <c r="B79" s="61" t="str">
        <f t="shared" si="1"/>
        <v>ZQRN:BCSU,5:PCU2E,6:IFETH0,IFETH1:"10.170.34.103",25,L;</v>
      </c>
      <c r="C79" s="8"/>
    </row>
    <row r="80" spans="1:16" s="61" customFormat="1">
      <c r="B80" s="61" t="str">
        <f t="shared" si="1"/>
        <v>ZQRN:BCSU,6:PCU2E,7:IFETH0,IFETH1:"10.170.34.104",25,L;</v>
      </c>
      <c r="C80" s="8"/>
    </row>
    <row r="81" spans="2:3" s="61" customFormat="1">
      <c r="B81" s="61" t="str">
        <f t="shared" si="1"/>
        <v>ZQRN:BCSU,6:PCU2E,8:IFETH0,IFETH1:"10.170.34.105",25,L;</v>
      </c>
      <c r="C81" s="8"/>
    </row>
    <row r="82" spans="2:3" s="61" customFormat="1">
      <c r="B82" s="61" t="str">
        <f t="shared" si="1"/>
        <v>ZQRN:BCSU,6:PCU2E,4:IFETH0,IFETH1:"10.170.34.106",25,L;</v>
      </c>
      <c r="C82" s="8"/>
    </row>
    <row r="83" spans="2:3" s="61" customFormat="1">
      <c r="B83" s="61" t="str">
        <f t="shared" si="1"/>
        <v>ZQRN:BCSU,6:PCU2E,3:IFETH0,IFETH1:"10.170.34.107",25,L;</v>
      </c>
      <c r="C83" s="8"/>
    </row>
    <row r="84" spans="2:3" s="61" customFormat="1">
      <c r="B84" s="61" t="str">
        <f t="shared" si="1"/>
        <v>ZQRN:BCSU,6:PCU2E,5:IFETH0,IFETH1:"10.170.34.108",25,L;</v>
      </c>
      <c r="C84" s="8"/>
    </row>
    <row r="85" spans="2:3" s="61" customFormat="1">
      <c r="B85" s="61" t="str">
        <f t="shared" si="1"/>
        <v>ZQRN:BCSU,6:PCU2E,6:IFETH0,IFETH1:"10.170.34.109",25,L;</v>
      </c>
      <c r="C85" s="8"/>
    </row>
    <row r="86" spans="2:3" s="61" customFormat="1">
      <c r="B86" s="61" t="str">
        <f t="shared" si="1"/>
        <v>ZQRN:BCSU,8:PCU2E,7:IFETH0,IFETH1:"10.170.34.110",25,L;</v>
      </c>
      <c r="C86" s="8"/>
    </row>
    <row r="87" spans="2:3" s="61" customFormat="1">
      <c r="B87" s="61" t="str">
        <f t="shared" si="1"/>
        <v>ZQRN:BCSU,8:PCU2E,8:IFETH0,IFETH1:"10.170.34.111",25,L;</v>
      </c>
      <c r="C87" s="8"/>
    </row>
    <row r="88" spans="2:3" s="61" customFormat="1">
      <c r="B88" s="61" t="str">
        <f t="shared" si="1"/>
        <v>ZQRN:BCSU,8:PCU2E,4:IFETH0,IFETH1:"10.170.34.112",25,L;</v>
      </c>
      <c r="C88" s="8"/>
    </row>
    <row r="89" spans="2:3" s="61" customFormat="1">
      <c r="B89" s="61" t="str">
        <f t="shared" si="1"/>
        <v>ZQRN:BCSU,8:PCU2E,3:IFETH0,IFETH1:"10.170.34.113",25,L;</v>
      </c>
      <c r="C89" s="8"/>
    </row>
    <row r="90" spans="2:3" s="61" customFormat="1">
      <c r="B90" s="61" t="str">
        <f t="shared" si="1"/>
        <v>ZQRN:BCSU,8:PCU2E,5:IFETH0,IFETH1:"10.170.34.114",25,L;</v>
      </c>
      <c r="C90" s="8"/>
    </row>
    <row r="91" spans="2:3" s="61" customFormat="1">
      <c r="B91" s="61" t="str">
        <f t="shared" si="1"/>
        <v>ZQRN:BCSU,8:PCU2E,6:IFETH0,IFETH1:"10.170.34.115",25,L;</v>
      </c>
      <c r="C91" s="8"/>
    </row>
    <row r="92" spans="2:3" s="61" customFormat="1">
      <c r="B92" s="61" t="str">
        <f t="shared" si="1"/>
        <v/>
      </c>
      <c r="C92" s="8"/>
    </row>
    <row r="93" spans="2:3" s="61" customFormat="1">
      <c r="B93" s="61" t="str">
        <f t="shared" si="1"/>
        <v/>
      </c>
      <c r="C93" s="8"/>
    </row>
    <row r="94" spans="2:3" s="61" customFormat="1">
      <c r="B94" s="61" t="str">
        <f t="shared" si="1"/>
        <v/>
      </c>
      <c r="C94" s="8"/>
    </row>
    <row r="95" spans="2:3" s="61" customFormat="1">
      <c r="B95" s="61" t="str">
        <f t="shared" si="1"/>
        <v/>
      </c>
      <c r="C95" s="8"/>
    </row>
    <row r="96" spans="2:3" s="61" customFormat="1">
      <c r="B96" s="61" t="str">
        <f t="shared" si="1"/>
        <v/>
      </c>
      <c r="C96" s="8"/>
    </row>
    <row r="97" spans="1:16" s="61" customFormat="1">
      <c r="B97" s="61" t="str">
        <f t="shared" si="1"/>
        <v/>
      </c>
      <c r="C97" s="8"/>
    </row>
    <row r="99" spans="1:16">
      <c r="B99" s="27" t="s">
        <v>32</v>
      </c>
    </row>
    <row r="100" spans="1:16" s="8" customFormat="1">
      <c r="B100" s="27" t="str">
        <f t="shared" ref="B100:B105" si="2">IF(H6&lt;&gt;"",CONCATENATE("ZQKC:BCSU,",E6,":PCU2E,",F6,"::""",G6,""":LOG;"),"")</f>
        <v>ZQKC:BCSU,2:PCU2E,7::"10.170.34.65":LOG;</v>
      </c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</row>
    <row r="101" spans="1:16">
      <c r="B101" s="27" t="str">
        <f t="shared" si="2"/>
        <v>ZQKC:BCSU,2:PCU2E,8::"10.170.34.65":LOG;</v>
      </c>
    </row>
    <row r="102" spans="1:16" s="8" customFormat="1">
      <c r="B102" s="27" t="str">
        <f t="shared" si="2"/>
        <v>ZQKC:BCSU,2:PCU2E,4::"10.170.34.65":LOG;</v>
      </c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</row>
    <row r="103" spans="1:16" s="8" customFormat="1">
      <c r="B103" s="27" t="str">
        <f t="shared" si="2"/>
        <v>ZQKC:BCSU,2:PCU2E,3::"10.170.34.65":LOG;</v>
      </c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</row>
    <row r="104" spans="1:16" s="8" customFormat="1">
      <c r="B104" s="27" t="str">
        <f t="shared" si="2"/>
        <v>ZQKC:BCSU,2:PCU2E,5::"10.170.34.65":LOG;</v>
      </c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</row>
    <row r="105" spans="1:16" s="8" customFormat="1">
      <c r="B105" s="27" t="str">
        <f t="shared" si="2"/>
        <v>ZQKC:BCSU,2:PCU2E,6::"10.170.34.65":LOG;</v>
      </c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</row>
    <row r="106" spans="1:16" s="8" customFormat="1">
      <c r="A106" s="61"/>
      <c r="B106" s="61" t="str">
        <f t="shared" ref="B106:B140" si="3">IF(H12&lt;&gt;"",CONCATENATE("ZQKC:BCSU,",E12,":PCU2E,",F12,"::""",G12,""":LOG;"),"")</f>
        <v>ZQKC:BCSU,3:PCU2E,7::"10.170.34.65":LOG;</v>
      </c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</row>
    <row r="107" spans="1:16" s="8" customFormat="1">
      <c r="B107" s="61" t="str">
        <f t="shared" si="3"/>
        <v>ZQKC:BCSU,3:PCU2E,8::"10.170.34.65":LOG;</v>
      </c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</row>
    <row r="108" spans="1:16" s="8" customFormat="1">
      <c r="B108" s="61" t="str">
        <f t="shared" si="3"/>
        <v>ZQKC:BCSU,3:PCU2E,4::"10.170.34.65":LOG;</v>
      </c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</row>
    <row r="109" spans="1:16" s="8" customFormat="1">
      <c r="B109" s="61" t="str">
        <f t="shared" si="3"/>
        <v>ZQKC:BCSU,3:PCU2E,3::"10.170.34.65":LOG;</v>
      </c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</row>
    <row r="110" spans="1:16" s="8" customFormat="1">
      <c r="B110" s="61" t="str">
        <f t="shared" si="3"/>
        <v>ZQKC:BCSU,3:PCU2E,5::"10.170.34.65":LOG;</v>
      </c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</row>
    <row r="111" spans="1:16" s="8" customFormat="1">
      <c r="A111" s="61"/>
      <c r="B111" s="61" t="str">
        <f t="shared" si="3"/>
        <v>ZQKC:BCSU,3:PCU2E,6::"10.170.34.65":LOG;</v>
      </c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</row>
    <row r="112" spans="1:16" s="8" customFormat="1">
      <c r="B112" s="61" t="str">
        <f t="shared" si="3"/>
        <v>ZQKC:BCSU,4:PCU2E,7::"10.170.34.65":LOG;</v>
      </c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</row>
    <row r="113" spans="1:16" s="8" customFormat="1">
      <c r="B113" s="61" t="str">
        <f t="shared" si="3"/>
        <v>ZQKC:BCSU,4:PCU2E,8::"10.170.34.65":LOG;</v>
      </c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</row>
    <row r="114" spans="1:16" s="8" customFormat="1">
      <c r="B114" s="61" t="str">
        <f t="shared" si="3"/>
        <v>ZQKC:BCSU,4:PCU2E,4::"10.170.34.65":LOG;</v>
      </c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</row>
    <row r="115" spans="1:16" s="8" customFormat="1">
      <c r="B115" s="61" t="str">
        <f t="shared" si="3"/>
        <v>ZQKC:BCSU,4:PCU2E,3::"10.170.34.65":LOG;</v>
      </c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</row>
    <row r="116" spans="1:16" s="8" customFormat="1">
      <c r="A116" s="61"/>
      <c r="B116" s="61" t="str">
        <f t="shared" si="3"/>
        <v>ZQKC:BCSU,4:PCU2E,5::"10.170.34.65":LOG;</v>
      </c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</row>
    <row r="117" spans="1:16" s="8" customFormat="1">
      <c r="B117" s="61" t="str">
        <f t="shared" si="3"/>
        <v>ZQKC:BCSU,4:PCU2E,6::"10.170.34.65":LOG;</v>
      </c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</row>
    <row r="118" spans="1:16" s="8" customFormat="1">
      <c r="B118" s="61" t="str">
        <f t="shared" si="3"/>
        <v>ZQKC:BCSU,5:PCU2E,7::"10.170.34.65":LOG;</v>
      </c>
      <c r="D118" s="61"/>
      <c r="E118" s="61"/>
      <c r="F118" s="61"/>
      <c r="G118" s="61"/>
      <c r="H118" s="61"/>
      <c r="I118" s="61"/>
      <c r="J118" s="61"/>
      <c r="K118" s="61"/>
      <c r="L118" s="61"/>
      <c r="M118" s="61"/>
      <c r="N118" s="61"/>
      <c r="O118" s="61"/>
      <c r="P118" s="61"/>
    </row>
    <row r="119" spans="1:16" s="8" customFormat="1">
      <c r="B119" s="61" t="str">
        <f t="shared" si="3"/>
        <v>ZQKC:BCSU,5:PCU2E,8::"10.170.34.65":LOG;</v>
      </c>
      <c r="D119" s="61"/>
      <c r="E119" s="61"/>
      <c r="F119" s="61"/>
      <c r="G119" s="61"/>
      <c r="H119" s="61"/>
      <c r="I119" s="61"/>
      <c r="J119" s="61"/>
      <c r="K119" s="61"/>
      <c r="L119" s="61"/>
      <c r="M119" s="61"/>
      <c r="N119" s="61"/>
      <c r="O119" s="61"/>
      <c r="P119" s="61"/>
    </row>
    <row r="120" spans="1:16" s="8" customFormat="1">
      <c r="B120" s="61" t="str">
        <f t="shared" si="3"/>
        <v>ZQKC:BCSU,5:PCU2E,4::"10.170.34.65":LOG;</v>
      </c>
      <c r="D120" s="61"/>
      <c r="E120" s="61"/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</row>
    <row r="121" spans="1:16" s="8" customFormat="1">
      <c r="A121" s="61"/>
      <c r="B121" s="61" t="str">
        <f t="shared" si="3"/>
        <v>ZQKC:BCSU,5:PCU2E,3::"10.170.34.65":LOG;</v>
      </c>
      <c r="D121" s="61"/>
      <c r="E121" s="61"/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</row>
    <row r="122" spans="1:16" s="8" customFormat="1">
      <c r="B122" s="61" t="str">
        <f t="shared" si="3"/>
        <v>ZQKC:BCSU,5:PCU2E,5::"10.170.34.65":LOG;</v>
      </c>
      <c r="D122" s="61"/>
      <c r="E122" s="61"/>
      <c r="F122" s="61"/>
      <c r="G122" s="61"/>
      <c r="H122" s="61"/>
      <c r="I122" s="61"/>
      <c r="J122" s="61"/>
      <c r="K122" s="61"/>
      <c r="L122" s="61"/>
      <c r="M122" s="61"/>
      <c r="N122" s="61"/>
      <c r="O122" s="61"/>
      <c r="P122" s="61"/>
    </row>
    <row r="123" spans="1:16" s="8" customFormat="1">
      <c r="B123" s="61" t="str">
        <f t="shared" si="3"/>
        <v>ZQKC:BCSU,5:PCU2E,6::"10.170.34.65":LOG;</v>
      </c>
      <c r="D123" s="61"/>
      <c r="E123" s="61"/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</row>
    <row r="124" spans="1:16" s="8" customFormat="1">
      <c r="B124" s="61" t="str">
        <f t="shared" si="3"/>
        <v>ZQKC:BCSU,6:PCU2E,7::"10.170.34.65":LOG;</v>
      </c>
      <c r="D124" s="61"/>
      <c r="E124" s="61"/>
      <c r="F124" s="61"/>
      <c r="G124" s="61"/>
      <c r="H124" s="61"/>
      <c r="I124" s="61"/>
      <c r="J124" s="61"/>
      <c r="K124" s="61"/>
      <c r="L124" s="61"/>
      <c r="M124" s="61"/>
      <c r="N124" s="61"/>
      <c r="O124" s="61"/>
      <c r="P124" s="61"/>
    </row>
    <row r="125" spans="1:16" s="8" customFormat="1">
      <c r="B125" s="61" t="str">
        <f t="shared" si="3"/>
        <v>ZQKC:BCSU,6:PCU2E,8::"10.170.34.65":LOG;</v>
      </c>
      <c r="D125" s="61"/>
      <c r="E125" s="61"/>
      <c r="F125" s="61"/>
      <c r="G125" s="61"/>
      <c r="H125" s="61"/>
      <c r="I125" s="61"/>
      <c r="J125" s="61"/>
      <c r="K125" s="61"/>
      <c r="L125" s="61"/>
      <c r="M125" s="61"/>
      <c r="N125" s="61"/>
      <c r="O125" s="61"/>
      <c r="P125" s="61"/>
    </row>
    <row r="126" spans="1:16" s="8" customFormat="1">
      <c r="A126" s="61"/>
      <c r="B126" s="61" t="str">
        <f t="shared" si="3"/>
        <v>ZQKC:BCSU,6:PCU2E,4::"10.170.34.65":LOG;</v>
      </c>
      <c r="D126" s="61"/>
      <c r="E126" s="61"/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</row>
    <row r="127" spans="1:16" s="8" customFormat="1">
      <c r="B127" s="61" t="str">
        <f t="shared" si="3"/>
        <v>ZQKC:BCSU,6:PCU2E,3::"10.170.34.65":LOG;</v>
      </c>
      <c r="D127" s="61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</row>
    <row r="128" spans="1:16" s="8" customFormat="1">
      <c r="B128" s="61" t="str">
        <f t="shared" si="3"/>
        <v>ZQKC:BCSU,6:PCU2E,5::"10.170.34.65":LOG;</v>
      </c>
      <c r="D128" s="61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</row>
    <row r="129" spans="1:16" s="8" customFormat="1">
      <c r="B129" s="61" t="str">
        <f t="shared" si="3"/>
        <v>ZQKC:BCSU,6:PCU2E,6::"10.170.34.65":LOG;</v>
      </c>
      <c r="D129" s="61"/>
      <c r="E129" s="61"/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/>
    </row>
    <row r="130" spans="1:16" s="8" customFormat="1">
      <c r="B130" s="61" t="str">
        <f t="shared" si="3"/>
        <v>ZQKC:BCSU,8:PCU2E,7::"10.170.34.65":LOG;</v>
      </c>
      <c r="D130" s="61"/>
      <c r="E130" s="61"/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</row>
    <row r="131" spans="1:16" s="8" customFormat="1">
      <c r="A131" s="61"/>
      <c r="B131" s="61" t="str">
        <f t="shared" si="3"/>
        <v>ZQKC:BCSU,8:PCU2E,8::"10.170.34.65":LOG;</v>
      </c>
      <c r="D131" s="61"/>
      <c r="E131" s="61"/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</row>
    <row r="132" spans="1:16" s="8" customFormat="1">
      <c r="B132" s="61" t="str">
        <f t="shared" si="3"/>
        <v>ZQKC:BCSU,8:PCU2E,4::"10.170.34.65":LOG;</v>
      </c>
      <c r="D132" s="61"/>
      <c r="E132" s="61"/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</row>
    <row r="133" spans="1:16" s="8" customFormat="1">
      <c r="B133" s="61" t="str">
        <f t="shared" si="3"/>
        <v>ZQKC:BCSU,8:PCU2E,3::"10.170.34.65":LOG;</v>
      </c>
      <c r="D133" s="61"/>
      <c r="E133" s="61"/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</row>
    <row r="134" spans="1:16" s="8" customFormat="1">
      <c r="B134" s="61" t="str">
        <f t="shared" si="3"/>
        <v>ZQKC:BCSU,8:PCU2E,5::"10.170.34.65":LOG;</v>
      </c>
      <c r="D134" s="61"/>
      <c r="E134" s="61"/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</row>
    <row r="135" spans="1:16" s="8" customFormat="1">
      <c r="B135" s="61" t="str">
        <f t="shared" si="3"/>
        <v>ZQKC:BCSU,8:PCU2E,6::"10.170.34.65":LOG;</v>
      </c>
      <c r="D135" s="61"/>
      <c r="E135" s="61"/>
      <c r="F135" s="61"/>
      <c r="G135" s="61"/>
      <c r="H135" s="61"/>
      <c r="I135" s="61"/>
      <c r="J135" s="61"/>
      <c r="K135" s="61"/>
      <c r="L135" s="61"/>
      <c r="M135" s="61"/>
      <c r="N135" s="61"/>
      <c r="O135" s="61"/>
      <c r="P135" s="61"/>
    </row>
    <row r="136" spans="1:16" s="8" customFormat="1">
      <c r="A136" s="61"/>
      <c r="B136" s="61" t="str">
        <f t="shared" si="3"/>
        <v/>
      </c>
      <c r="D136" s="61"/>
      <c r="E136" s="61"/>
      <c r="F136" s="61"/>
      <c r="G136" s="61"/>
      <c r="H136" s="61"/>
      <c r="I136" s="61"/>
      <c r="J136" s="61"/>
      <c r="K136" s="61"/>
      <c r="L136" s="61"/>
      <c r="M136" s="61"/>
      <c r="N136" s="61"/>
      <c r="O136" s="61"/>
      <c r="P136" s="61"/>
    </row>
    <row r="137" spans="1:16" s="8" customFormat="1">
      <c r="B137" s="61" t="str">
        <f t="shared" si="3"/>
        <v/>
      </c>
      <c r="D137" s="61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</row>
    <row r="138" spans="1:16" s="8" customFormat="1">
      <c r="B138" s="61" t="str">
        <f t="shared" si="3"/>
        <v/>
      </c>
      <c r="D138" s="61"/>
      <c r="E138" s="61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</row>
    <row r="139" spans="1:16" s="8" customFormat="1">
      <c r="B139" s="61" t="str">
        <f t="shared" si="3"/>
        <v/>
      </c>
      <c r="D139" s="61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</row>
    <row r="140" spans="1:16" s="8" customFormat="1">
      <c r="B140" s="61" t="str">
        <f t="shared" si="3"/>
        <v/>
      </c>
      <c r="D140" s="61"/>
      <c r="E140" s="61"/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</row>
    <row r="141" spans="1:16" s="8" customFormat="1">
      <c r="A141" s="61"/>
      <c r="B141" s="61" t="str">
        <f>IF(H47&lt;&gt;"",CONCATENATE("ZQKC:BCSU,",E47,":PCU2E,",F47,"::""",G47,""":LOG;"),"")</f>
        <v/>
      </c>
      <c r="D141" s="61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</row>
    <row r="142" spans="1:16" s="8" customFormat="1">
      <c r="B142" s="61"/>
      <c r="D142" s="61"/>
      <c r="E142" s="61"/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</row>
    <row r="143" spans="1:16">
      <c r="B143" s="27" t="s">
        <v>33</v>
      </c>
    </row>
    <row r="144" spans="1:16" s="8" customFormat="1">
      <c r="B144" s="27" t="str">
        <f t="shared" ref="B144:B149" si="4">IF(J6&lt;&gt;"",CONCATENATE("ZFXA:PSEI=",H6,",BCSU=",E6,",PCU=",F6,";"),"")</f>
        <v>ZFXA:PSEI=13,BCSU=2,PCU=7;</v>
      </c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</row>
    <row r="145" spans="2:16" s="8" customFormat="1">
      <c r="B145" s="27" t="str">
        <f t="shared" si="4"/>
        <v>ZFXA:PSEI=14,BCSU=2,PCU=8;</v>
      </c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</row>
    <row r="146" spans="2:16" s="8" customFormat="1">
      <c r="B146" s="27" t="str">
        <f t="shared" si="4"/>
        <v>ZFXA:PSEI=15,BCSU=2,PCU=4;</v>
      </c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</row>
    <row r="147" spans="2:16" s="8" customFormat="1">
      <c r="B147" s="27" t="str">
        <f t="shared" si="4"/>
        <v>ZFXA:PSEI=16,BCSU=2,PCU=3;</v>
      </c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</row>
    <row r="148" spans="2:16" s="8" customFormat="1">
      <c r="B148" s="27" t="str">
        <f t="shared" si="4"/>
        <v>ZFXA:PSEI=17,BCSU=2,PCU=5;</v>
      </c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</row>
    <row r="149" spans="2:16" s="8" customFormat="1">
      <c r="B149" s="27" t="str">
        <f t="shared" si="4"/>
        <v>ZFXA:PSEI=18,BCSU=2,PCU=6;</v>
      </c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</row>
    <row r="150" spans="2:16" s="8" customFormat="1">
      <c r="B150" s="61" t="str">
        <f t="shared" ref="B150:B185" si="5">IF(J12&lt;&gt;"",CONCATENATE("ZFXA:PSEI=",H12,",BCSU=",E12,",PCU=",F12,";"),"")</f>
        <v>ZFXA:PSEI=19,BCSU=3,PCU=7;</v>
      </c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</row>
    <row r="151" spans="2:16" s="8" customFormat="1">
      <c r="B151" s="61" t="str">
        <f t="shared" si="5"/>
        <v>ZFXA:PSEI=20,BCSU=3,PCU=8;</v>
      </c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</row>
    <row r="152" spans="2:16" s="8" customFormat="1">
      <c r="B152" s="61" t="str">
        <f t="shared" si="5"/>
        <v>ZFXA:PSEI=21,BCSU=3,PCU=4;</v>
      </c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</row>
    <row r="153" spans="2:16" s="8" customFormat="1">
      <c r="B153" s="61" t="str">
        <f t="shared" si="5"/>
        <v>ZFXA:PSEI=22,BCSU=3,PCU=3;</v>
      </c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</row>
    <row r="154" spans="2:16" s="8" customFormat="1">
      <c r="B154" s="61" t="str">
        <f t="shared" si="5"/>
        <v>ZFXA:PSEI=23,BCSU=3,PCU=5;</v>
      </c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</row>
    <row r="155" spans="2:16" s="8" customFormat="1">
      <c r="B155" s="61" t="str">
        <f t="shared" si="5"/>
        <v>ZFXA:PSEI=24,BCSU=3,PCU=6;</v>
      </c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</row>
    <row r="156" spans="2:16" s="8" customFormat="1">
      <c r="B156" s="61" t="str">
        <f t="shared" si="5"/>
        <v>ZFXA:PSEI=25,BCSU=4,PCU=7;</v>
      </c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</row>
    <row r="157" spans="2:16" s="8" customFormat="1">
      <c r="B157" s="61" t="str">
        <f t="shared" si="5"/>
        <v>ZFXA:PSEI=26,BCSU=4,PCU=8;</v>
      </c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</row>
    <row r="158" spans="2:16" s="8" customFormat="1">
      <c r="B158" s="61" t="str">
        <f t="shared" si="5"/>
        <v>ZFXA:PSEI=27,BCSU=4,PCU=4;</v>
      </c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</row>
    <row r="159" spans="2:16" s="8" customFormat="1">
      <c r="B159" s="61" t="str">
        <f t="shared" si="5"/>
        <v>ZFXA:PSEI=28,BCSU=4,PCU=3;</v>
      </c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</row>
    <row r="160" spans="2:16" s="8" customFormat="1">
      <c r="B160" s="61" t="str">
        <f t="shared" si="5"/>
        <v>ZFXA:PSEI=29,BCSU=4,PCU=5;</v>
      </c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</row>
    <row r="161" spans="1:3">
      <c r="A161" s="8"/>
      <c r="B161" s="61" t="str">
        <f t="shared" si="5"/>
        <v>ZFXA:PSEI=30,BCSU=4,PCU=6;</v>
      </c>
    </row>
    <row r="162" spans="1:3" s="61" customFormat="1">
      <c r="A162" s="8"/>
      <c r="B162" s="61" t="str">
        <f t="shared" si="5"/>
        <v>ZFXA:PSEI=31,BCSU=5,PCU=7;</v>
      </c>
      <c r="C162" s="8"/>
    </row>
    <row r="163" spans="1:3" s="61" customFormat="1">
      <c r="A163" s="8"/>
      <c r="B163" s="61" t="str">
        <f t="shared" si="5"/>
        <v>ZFXA:PSEI=32,BCSU=5,PCU=8;</v>
      </c>
      <c r="C163" s="8"/>
    </row>
    <row r="164" spans="1:3" s="61" customFormat="1">
      <c r="A164" s="8"/>
      <c r="B164" s="61" t="str">
        <f t="shared" si="5"/>
        <v>ZFXA:PSEI=29,BCSU=5,PCU=4;</v>
      </c>
      <c r="C164" s="8"/>
    </row>
    <row r="165" spans="1:3" s="61" customFormat="1">
      <c r="A165" s="8"/>
      <c r="B165" s="61" t="str">
        <f t="shared" si="5"/>
        <v>ZFXA:PSEI=30,BCSU=5,PCU=3;</v>
      </c>
      <c r="C165" s="8"/>
    </row>
    <row r="166" spans="1:3" s="61" customFormat="1">
      <c r="A166" s="8"/>
      <c r="B166" s="61" t="str">
        <f t="shared" si="5"/>
        <v>ZFXA:PSEI=31,BCSU=5,PCU=5;</v>
      </c>
      <c r="C166" s="8"/>
    </row>
    <row r="167" spans="1:3" s="61" customFormat="1">
      <c r="A167" s="8"/>
      <c r="B167" s="61" t="str">
        <f t="shared" si="5"/>
        <v>ZFXA:PSEI=32,BCSU=5,PCU=6;</v>
      </c>
      <c r="C167" s="8"/>
    </row>
    <row r="168" spans="1:3" s="61" customFormat="1">
      <c r="A168" s="8"/>
      <c r="B168" s="61" t="str">
        <f t="shared" si="5"/>
        <v>ZFXA:PSEI=29,BCSU=6,PCU=7;</v>
      </c>
      <c r="C168" s="8"/>
    </row>
    <row r="169" spans="1:3" s="61" customFormat="1">
      <c r="A169" s="8"/>
      <c r="B169" s="61" t="str">
        <f t="shared" si="5"/>
        <v>ZFXA:PSEI=30,BCSU=6,PCU=8;</v>
      </c>
      <c r="C169" s="8"/>
    </row>
    <row r="170" spans="1:3" s="61" customFormat="1">
      <c r="A170" s="8"/>
      <c r="B170" s="61" t="str">
        <f t="shared" si="5"/>
        <v>ZFXA:PSEI=31,BCSU=6,PCU=4;</v>
      </c>
      <c r="C170" s="8"/>
    </row>
    <row r="171" spans="1:3" s="61" customFormat="1">
      <c r="A171" s="8"/>
      <c r="B171" s="61" t="str">
        <f t="shared" si="5"/>
        <v>ZFXA:PSEI=32,BCSU=6,PCU=3;</v>
      </c>
      <c r="C171" s="8"/>
    </row>
    <row r="172" spans="1:3" s="61" customFormat="1">
      <c r="A172" s="8"/>
      <c r="B172" s="61" t="str">
        <f t="shared" si="5"/>
        <v>ZFXA:PSEI=29,BCSU=6,PCU=5;</v>
      </c>
      <c r="C172" s="8"/>
    </row>
    <row r="173" spans="1:3" s="61" customFormat="1">
      <c r="A173" s="8"/>
      <c r="B173" s="61" t="str">
        <f t="shared" si="5"/>
        <v>ZFXA:PSEI=30,BCSU=6,PCU=6;</v>
      </c>
      <c r="C173" s="8"/>
    </row>
    <row r="174" spans="1:3" s="61" customFormat="1">
      <c r="A174" s="8"/>
      <c r="B174" s="61" t="str">
        <f t="shared" si="5"/>
        <v>ZFXA:PSEI=31,BCSU=8,PCU=7;</v>
      </c>
      <c r="C174" s="8"/>
    </row>
    <row r="175" spans="1:3" s="61" customFormat="1">
      <c r="A175" s="8"/>
      <c r="B175" s="61" t="str">
        <f t="shared" si="5"/>
        <v>ZFXA:PSEI=32,BCSU=8,PCU=8;</v>
      </c>
      <c r="C175" s="8"/>
    </row>
    <row r="176" spans="1:3" s="61" customFormat="1">
      <c r="A176" s="8"/>
      <c r="B176" s="61" t="str">
        <f t="shared" si="5"/>
        <v>ZFXA:PSEI=29,BCSU=8,PCU=4;</v>
      </c>
      <c r="C176" s="8"/>
    </row>
    <row r="177" spans="1:16" s="61" customFormat="1">
      <c r="A177" s="8"/>
      <c r="B177" s="61" t="str">
        <f t="shared" si="5"/>
        <v>ZFXA:PSEI=30,BCSU=8,PCU=3;</v>
      </c>
      <c r="C177" s="8"/>
    </row>
    <row r="178" spans="1:16" s="61" customFormat="1">
      <c r="A178" s="8"/>
      <c r="B178" s="61" t="str">
        <f t="shared" si="5"/>
        <v>ZFXA:PSEI=31,BCSU=8,PCU=5;</v>
      </c>
      <c r="C178" s="8"/>
    </row>
    <row r="179" spans="1:16" s="61" customFormat="1">
      <c r="A179" s="8"/>
      <c r="B179" s="61" t="str">
        <f t="shared" si="5"/>
        <v>ZFXA:PSEI=32,BCSU=8,PCU=6;</v>
      </c>
      <c r="C179" s="8"/>
    </row>
    <row r="180" spans="1:16" s="61" customFormat="1">
      <c r="A180" s="8"/>
      <c r="B180" s="61" t="str">
        <f t="shared" si="5"/>
        <v/>
      </c>
      <c r="C180" s="8"/>
    </row>
    <row r="181" spans="1:16" s="61" customFormat="1">
      <c r="A181" s="8"/>
      <c r="B181" s="61" t="str">
        <f t="shared" si="5"/>
        <v/>
      </c>
      <c r="C181" s="8"/>
    </row>
    <row r="182" spans="1:16" s="61" customFormat="1">
      <c r="A182" s="8"/>
      <c r="B182" s="61" t="str">
        <f t="shared" si="5"/>
        <v/>
      </c>
      <c r="C182" s="8"/>
    </row>
    <row r="183" spans="1:16" s="61" customFormat="1">
      <c r="A183" s="8"/>
      <c r="B183" s="61" t="str">
        <f t="shared" si="5"/>
        <v/>
      </c>
      <c r="C183" s="8"/>
    </row>
    <row r="184" spans="1:16" s="61" customFormat="1">
      <c r="A184" s="8"/>
      <c r="B184" s="61" t="str">
        <f t="shared" si="5"/>
        <v/>
      </c>
      <c r="C184" s="8"/>
    </row>
    <row r="185" spans="1:16" s="61" customFormat="1">
      <c r="A185" s="8"/>
      <c r="B185" s="61" t="str">
        <f t="shared" si="5"/>
        <v/>
      </c>
      <c r="C185" s="8"/>
    </row>
    <row r="186" spans="1:16" s="61" customFormat="1">
      <c r="C186" s="8"/>
    </row>
    <row r="187" spans="1:16" s="8" customFormat="1">
      <c r="B187" s="27" t="s">
        <v>34</v>
      </c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</row>
    <row r="188" spans="1:16" s="8" customFormat="1">
      <c r="B188" s="27" t="str">
        <f>IF(P6&lt;&gt;"",CONCATENATE("ZFXK:NSVLI=",Q6,",NAME=",R6,",NSEI=",P6,",PSEI=",H6,":LPNBR=",K6,",PRE=N:RIP=""",M6,""",RPNBR=",O6,",RDW=",T6,",RSW=",U6,";"),"")</f>
        <v>ZFXK:NSVLI=1462,NAME=BSCBA44_13,NSEI=7212,PSEI=13:LPNBR=50000,PRE=N:RIP="10.170.36.228",RPNBR=50812,RDW=50,RSW=50;</v>
      </c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</row>
    <row r="189" spans="1:16" s="8" customFormat="1">
      <c r="B189" s="61" t="str">
        <f t="shared" ref="B189:B229" si="6">IF(P7&lt;&gt;"",CONCATENATE("ZFXK:NSVLI=",Q7,",NAME=",R7,",NSEI=",P7,",PSEI=",H7,":LPNBR=",K7,",PRE=N:RIP=""",M7,""",RPNBR=",O7,",RDW=",T7,",RSW=",U7,";"),"")</f>
        <v>ZFXK:NSVLI=1463,NAME=BSCBA44_14,NSEI=7213,PSEI=14:LPNBR=50000,PRE=N:RIP="10.170.36.228",RPNBR=50813,RDW=50,RSW=50;</v>
      </c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</row>
    <row r="190" spans="1:16" s="8" customFormat="1">
      <c r="B190" s="61" t="str">
        <f t="shared" si="6"/>
        <v>ZFXK:NSVLI=1464,NAME=BSCBA44_15,NSEI=7214,PSEI=15:LPNBR=50000,PRE=N:RIP="10.170.36.228",RPNBR=50814,RDW=50,RSW=50;</v>
      </c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</row>
    <row r="191" spans="1:16" s="8" customFormat="1">
      <c r="B191" s="61" t="str">
        <f t="shared" si="6"/>
        <v>ZFXK:NSVLI=1465,NAME=BSCBA44_16,NSEI=7215,PSEI=16:LPNBR=50000,PRE=N:RIP="10.170.36.228",RPNBR=50815,RDW=50,RSW=50;</v>
      </c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</row>
    <row r="192" spans="1:16" s="8" customFormat="1">
      <c r="B192" s="61" t="str">
        <f t="shared" si="6"/>
        <v>ZFXK:NSVLI=1466,NAME=BSCBA44_17,NSEI=7216,PSEI=17:LPNBR=50000,PRE=N:RIP="10.170.36.229",RPNBR=50816,RDW=50,RSW=50;</v>
      </c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</row>
    <row r="193" spans="1:16" s="8" customFormat="1">
      <c r="B193" s="61" t="str">
        <f t="shared" si="6"/>
        <v>ZFXK:NSVLI=1467,NAME=BSCBA44_18,NSEI=7217,PSEI=18:LPNBR=50000,PRE=N:RIP="10.170.36.229",RPNBR=50817,RDW=50,RSW=50;</v>
      </c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</row>
    <row r="194" spans="1:16" s="8" customFormat="1">
      <c r="B194" s="61" t="str">
        <f t="shared" si="6"/>
        <v>ZFXK:NSVLI=1468,NAME=BSCBA44_19,NSEI=7218,PSEI=19:LPNBR=50000,PRE=N:RIP="10.170.36.229",RPNBR=50818,RDW=50,RSW=50;</v>
      </c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</row>
    <row r="195" spans="1:16" s="8" customFormat="1">
      <c r="B195" s="61" t="str">
        <f t="shared" si="6"/>
        <v>ZFXK:NSVLI=1469,NAME=BSCBA44_20,NSEI=7219,PSEI=20:LPNBR=50000,PRE=N:RIP="10.170.36.229",RPNBR=50819,RDW=50,RSW=50;</v>
      </c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</row>
    <row r="196" spans="1:16" s="8" customFormat="1">
      <c r="B196" s="61" t="str">
        <f t="shared" si="6"/>
        <v>ZFXK:NSVLI=1470,NAME=BSCBA44_21,NSEI=7220,PSEI=21:LPNBR=50000,PRE=N:RIP="10.170.36.229",RPNBR=50820,RDW=50,RSW=50;</v>
      </c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</row>
    <row r="197" spans="1:16" s="8" customFormat="1">
      <c r="B197" s="61" t="str">
        <f t="shared" si="6"/>
        <v>ZFXK:NSVLI=1471,NAME=BSCBA44_22,NSEI=7221,PSEI=22:LPNBR=50000,PRE=N:RIP="10.170.36.229",RPNBR=50821,RDW=50,RSW=50;</v>
      </c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</row>
    <row r="198" spans="1:16" s="8" customFormat="1">
      <c r="B198" s="61" t="str">
        <f t="shared" si="6"/>
        <v>ZFXK:NSVLI=1472,NAME=BSCBA44_23,NSEI=7222,PSEI=23:LPNBR=50000,PRE=N:RIP="10.170.36.229",RPNBR=50822,RDW=50,RSW=50;</v>
      </c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</row>
    <row r="199" spans="1:16" s="8" customFormat="1">
      <c r="B199" s="61" t="str">
        <f t="shared" si="6"/>
        <v>ZFXK:NSVLI=1473,NAME=BSCBA44_24,NSEI=7223,PSEI=24:LPNBR=50000,PRE=N:RIP="10.170.36.229",RPNBR=50823,RDW=50,RSW=50;</v>
      </c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</row>
    <row r="200" spans="1:16" s="8" customFormat="1">
      <c r="B200" s="61" t="str">
        <f t="shared" si="6"/>
        <v>ZFXK:NSVLI=1474,NAME=BSCBA44_25,NSEI=7224,PSEI=25:LPNBR=50000,PRE=N:RIP="10.170.36.229",RPNBR=50824,RDW=50,RSW=50;</v>
      </c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</row>
    <row r="201" spans="1:16" s="8" customFormat="1">
      <c r="B201" s="61" t="str">
        <f t="shared" si="6"/>
        <v>ZFXK:NSVLI=1475,NAME=BSCBA44_26,NSEI=7225,PSEI=26:LPNBR=50000,PRE=N:RIP="10.170.36.229",RPNBR=50825,RDW=50,RSW=50;</v>
      </c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</row>
    <row r="202" spans="1:16" s="8" customFormat="1">
      <c r="B202" s="61" t="str">
        <f t="shared" si="6"/>
        <v>ZFXK:NSVLI=1476,NAME=BSCBA44_27,NSEI=7226,PSEI=27:LPNBR=50000,PRE=N:RIP="10.170.36.229",RPNBR=50826,RDW=50,RSW=50;</v>
      </c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</row>
    <row r="203" spans="1:16">
      <c r="A203" s="8"/>
      <c r="B203" s="61" t="str">
        <f t="shared" si="6"/>
        <v>ZFXK:NSVLI=1477,NAME=BSCBA44_28,NSEI=7227,PSEI=28:LPNBR=50000,PRE=N:RIP="10.170.36.229",RPNBR=50827,RDW=50,RSW=50;</v>
      </c>
    </row>
    <row r="204" spans="1:16" s="8" customFormat="1">
      <c r="B204" s="61" t="str">
        <f t="shared" si="6"/>
        <v>ZFXK:NSVLI=1478,NAME=BSCBA44_29,NSEI=7228,PSEI=29:LPNBR=50000,PRE=N:RIP="10.170.36.229",RPNBR=50828,RDW=50,RSW=50;</v>
      </c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</row>
    <row r="205" spans="1:16" s="8" customFormat="1">
      <c r="B205" s="61" t="str">
        <f t="shared" si="6"/>
        <v>ZFXK:NSVLI=1479,NAME=BSCBA44_30,NSEI=7229,PSEI=30:LPNBR=50000,PRE=N:RIP="10.170.36.229",RPNBR=50829,RDW=50,RSW=50;</v>
      </c>
      <c r="D205" s="61"/>
      <c r="E205" s="61"/>
      <c r="F205" s="61"/>
      <c r="G205" s="61"/>
      <c r="H205" s="61"/>
      <c r="I205" s="61"/>
      <c r="J205" s="61"/>
      <c r="K205" s="61"/>
      <c r="L205" s="61"/>
      <c r="M205" s="61"/>
      <c r="N205" s="61"/>
      <c r="O205" s="61"/>
      <c r="P205" s="61"/>
    </row>
    <row r="206" spans="1:16" s="8" customFormat="1">
      <c r="B206" s="61" t="str">
        <f t="shared" si="6"/>
        <v>ZFXK:NSVLI=1480,NAME=BSCBA44_31,NSEI=7230,PSEI=31:LPNBR=50000,PRE=N:RIP="10.170.36.229",RPNBR=50830,RDW=50,RSW=50;</v>
      </c>
      <c r="D206" s="61"/>
      <c r="E206" s="61"/>
      <c r="F206" s="61"/>
      <c r="G206" s="61"/>
      <c r="H206" s="61"/>
      <c r="I206" s="61"/>
      <c r="J206" s="61"/>
      <c r="K206" s="61"/>
      <c r="L206" s="61"/>
      <c r="M206" s="61"/>
      <c r="N206" s="61"/>
      <c r="O206" s="61"/>
      <c r="P206" s="61"/>
    </row>
    <row r="207" spans="1:16" s="8" customFormat="1">
      <c r="B207" s="61" t="str">
        <f t="shared" si="6"/>
        <v>ZFXK:NSVLI=1481,NAME=BSCBA44_32,NSEI=7231,PSEI=32:LPNBR=50000,PRE=N:RIP="10.170.36.229",RPNBR=50831,RDW=50,RSW=50;</v>
      </c>
      <c r="D207" s="61"/>
      <c r="E207" s="61"/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</row>
    <row r="208" spans="1:16" s="8" customFormat="1">
      <c r="B208" s="61" t="str">
        <f t="shared" si="6"/>
        <v>ZFXK:NSVLI=1482,NAME=BSCBA44_29,NSEI=7232,PSEI=29:LPNBR=50000,PRE=N:RIP="10.170.36.230",RPNBR=50832,RDW=50,RSW=50;</v>
      </c>
      <c r="D208" s="61"/>
      <c r="E208" s="61"/>
      <c r="F208" s="61"/>
      <c r="G208" s="61"/>
      <c r="H208" s="61"/>
      <c r="I208" s="61"/>
      <c r="J208" s="61"/>
      <c r="K208" s="61"/>
      <c r="L208" s="61"/>
      <c r="M208" s="61"/>
      <c r="N208" s="61"/>
      <c r="O208" s="61"/>
      <c r="P208" s="61"/>
    </row>
    <row r="209" spans="2:16" s="8" customFormat="1">
      <c r="B209" s="61" t="str">
        <f t="shared" si="6"/>
        <v>ZFXK:NSVLI=1483,NAME=BSCBA44_30,NSEI=7233,PSEI=30:LPNBR=50000,PRE=N:RIP="10.170.36.230",RPNBR=50833,RDW=50,RSW=50;</v>
      </c>
      <c r="D209" s="61"/>
      <c r="E209" s="61"/>
      <c r="F209" s="61"/>
      <c r="G209" s="61"/>
      <c r="H209" s="61"/>
      <c r="I209" s="61"/>
      <c r="J209" s="61"/>
      <c r="K209" s="61"/>
      <c r="L209" s="61"/>
      <c r="M209" s="61"/>
      <c r="N209" s="61"/>
      <c r="O209" s="61"/>
      <c r="P209" s="61"/>
    </row>
    <row r="210" spans="2:16" s="8" customFormat="1">
      <c r="B210" s="61" t="str">
        <f t="shared" si="6"/>
        <v>ZFXK:NSVLI=1484,NAME=BSCBA44_31,NSEI=7234,PSEI=31:LPNBR=50000,PRE=N:RIP="10.170.36.230",RPNBR=50834,RDW=50,RSW=50;</v>
      </c>
      <c r="D210" s="61"/>
      <c r="E210" s="61"/>
      <c r="F210" s="61"/>
      <c r="G210" s="61"/>
      <c r="H210" s="61"/>
      <c r="I210" s="61"/>
      <c r="J210" s="61"/>
      <c r="K210" s="61"/>
      <c r="L210" s="61"/>
      <c r="M210" s="61"/>
      <c r="N210" s="61"/>
      <c r="O210" s="61"/>
      <c r="P210" s="61"/>
    </row>
    <row r="211" spans="2:16" s="8" customFormat="1">
      <c r="B211" s="61" t="str">
        <f t="shared" si="6"/>
        <v>ZFXK:NSVLI=1485,NAME=BSCBA44_32,NSEI=7235,PSEI=32:LPNBR=50000,PRE=N:RIP="10.170.36.230",RPNBR=50835,RDW=50,RSW=50;</v>
      </c>
      <c r="D211" s="61"/>
      <c r="E211" s="61"/>
      <c r="F211" s="61"/>
      <c r="G211" s="61"/>
      <c r="H211" s="61"/>
      <c r="I211" s="61"/>
      <c r="J211" s="61"/>
      <c r="K211" s="61"/>
      <c r="L211" s="61"/>
      <c r="M211" s="61"/>
      <c r="N211" s="61"/>
      <c r="O211" s="61"/>
      <c r="P211" s="61"/>
    </row>
    <row r="212" spans="2:16" s="8" customFormat="1">
      <c r="B212" s="61" t="str">
        <f t="shared" si="6"/>
        <v>ZFXK:NSVLI=1486,NAME=BSCBA44_33,NSEI=7236,PSEI=29:LPNBR=50000,PRE=N:RIP="10.170.36.230",RPNBR=50836,RDW=50,RSW=50;</v>
      </c>
      <c r="D212" s="61"/>
      <c r="E212" s="61"/>
      <c r="F212" s="61"/>
      <c r="G212" s="61"/>
      <c r="H212" s="61"/>
      <c r="I212" s="61"/>
      <c r="J212" s="61"/>
      <c r="K212" s="61"/>
      <c r="L212" s="61"/>
      <c r="M212" s="61"/>
      <c r="N212" s="61"/>
      <c r="O212" s="61"/>
      <c r="P212" s="61"/>
    </row>
    <row r="213" spans="2:16" s="8" customFormat="1">
      <c r="B213" s="61" t="str">
        <f t="shared" si="6"/>
        <v>ZFXK:NSVLI=1487,NAME=BSCBA44_34,NSEI=7237,PSEI=30:LPNBR=50000,PRE=N:RIP="10.170.36.230",RPNBR=50837,RDW=50,RSW=50;</v>
      </c>
      <c r="D213" s="61"/>
      <c r="E213" s="61"/>
      <c r="F213" s="61"/>
      <c r="G213" s="61"/>
      <c r="H213" s="61"/>
      <c r="I213" s="61"/>
      <c r="J213" s="61"/>
      <c r="K213" s="61"/>
      <c r="L213" s="61"/>
      <c r="M213" s="61"/>
      <c r="N213" s="61"/>
      <c r="O213" s="61"/>
      <c r="P213" s="61"/>
    </row>
    <row r="214" spans="2:16" s="8" customFormat="1">
      <c r="B214" s="61" t="str">
        <f t="shared" si="6"/>
        <v>ZFXK:NSVLI=1488,NAME=BSCBA44_35,NSEI=7238,PSEI=31:LPNBR=50000,PRE=N:RIP="10.170.36.230",RPNBR=50838,RDW=50,RSW=50;</v>
      </c>
      <c r="D214" s="61"/>
      <c r="E214" s="61"/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/>
    </row>
    <row r="215" spans="2:16" s="8" customFormat="1">
      <c r="B215" s="61" t="str">
        <f t="shared" si="6"/>
        <v>ZFXK:NSVLI=1489,NAME=BSCBA44_36,NSEI=7239,PSEI=32:LPNBR=50000,PRE=N:RIP="10.170.36.230",RPNBR=50839,RDW=50,RSW=50;</v>
      </c>
      <c r="D215" s="61"/>
      <c r="E215" s="61"/>
      <c r="F215" s="61"/>
      <c r="G215" s="61"/>
      <c r="H215" s="61"/>
      <c r="I215" s="61"/>
      <c r="J215" s="61"/>
      <c r="K215" s="61"/>
      <c r="L215" s="61"/>
      <c r="M215" s="61"/>
      <c r="N215" s="61"/>
      <c r="O215" s="61"/>
      <c r="P215" s="61"/>
    </row>
    <row r="216" spans="2:16" s="8" customFormat="1">
      <c r="B216" s="61" t="str">
        <f t="shared" si="6"/>
        <v>ZFXK:NSVLI=1490,NAME=BSCBA44_37,NSEI=7240,PSEI=29:LPNBR=50000,PRE=N:RIP="10.170.36.230",RPNBR=50840,RDW=50,RSW=50;</v>
      </c>
      <c r="D216" s="61"/>
      <c r="E216" s="61"/>
      <c r="F216" s="61"/>
      <c r="G216" s="61"/>
      <c r="H216" s="61"/>
      <c r="I216" s="61"/>
      <c r="J216" s="61"/>
      <c r="K216" s="61"/>
      <c r="L216" s="61"/>
      <c r="M216" s="61"/>
      <c r="N216" s="61"/>
      <c r="O216" s="61"/>
      <c r="P216" s="61"/>
    </row>
    <row r="217" spans="2:16" s="8" customFormat="1">
      <c r="B217" s="61" t="str">
        <f t="shared" si="6"/>
        <v>ZFXK:NSVLI=1491,NAME=BSCBA44_38,NSEI=7241,PSEI=30:LPNBR=50000,PRE=N:RIP="10.170.36.230",RPNBR=50841,RDW=50,RSW=50;</v>
      </c>
      <c r="D217" s="61"/>
      <c r="E217" s="61"/>
      <c r="F217" s="61"/>
      <c r="G217" s="61"/>
      <c r="H217" s="61"/>
      <c r="I217" s="61"/>
      <c r="J217" s="61"/>
      <c r="K217" s="61"/>
      <c r="L217" s="61"/>
      <c r="M217" s="61"/>
      <c r="N217" s="61"/>
      <c r="O217" s="61"/>
      <c r="P217" s="61"/>
    </row>
    <row r="218" spans="2:16" s="8" customFormat="1">
      <c r="B218" s="61" t="str">
        <f t="shared" si="6"/>
        <v>ZFXK:NSVLI=1492,NAME=BSCBA44_39,NSEI=7242,PSEI=31:LPNBR=50000,PRE=N:RIP="10.170.36.230",RPNBR=50842,RDW=50,RSW=50;</v>
      </c>
      <c r="D218" s="61"/>
      <c r="E218" s="61"/>
      <c r="F218" s="61"/>
      <c r="G218" s="61"/>
      <c r="H218" s="61"/>
      <c r="I218" s="61"/>
      <c r="J218" s="61"/>
      <c r="K218" s="61"/>
      <c r="L218" s="61"/>
      <c r="M218" s="61"/>
      <c r="N218" s="61"/>
      <c r="O218" s="61"/>
      <c r="P218" s="61"/>
    </row>
    <row r="219" spans="2:16" s="8" customFormat="1">
      <c r="B219" s="61" t="str">
        <f t="shared" si="6"/>
        <v>ZFXK:NSVLI=1493,NAME=BSCBA44_40,NSEI=7243,PSEI=32:LPNBR=50000,PRE=N:RIP="10.170.36.230",RPNBR=50843,RDW=50,RSW=50;</v>
      </c>
      <c r="D219" s="61"/>
      <c r="E219" s="61"/>
      <c r="F219" s="61"/>
      <c r="G219" s="61"/>
      <c r="H219" s="61"/>
      <c r="I219" s="61"/>
      <c r="J219" s="61"/>
      <c r="K219" s="61"/>
      <c r="L219" s="61"/>
      <c r="M219" s="61"/>
      <c r="N219" s="61"/>
      <c r="O219" s="61"/>
      <c r="P219" s="61"/>
    </row>
    <row r="220" spans="2:16" s="8" customFormat="1">
      <c r="B220" s="61" t="str">
        <f t="shared" si="6"/>
        <v>ZFXK:NSVLI=1494,NAME=BSCBA44_41,NSEI=7244,PSEI=29:LPNBR=50000,PRE=N:RIP="10.170.36.230",RPNBR=50844,RDW=50,RSW=50;</v>
      </c>
      <c r="D220" s="61"/>
      <c r="E220" s="61"/>
      <c r="F220" s="61"/>
      <c r="G220" s="61"/>
      <c r="H220" s="61"/>
      <c r="I220" s="61"/>
      <c r="J220" s="61"/>
      <c r="K220" s="61"/>
      <c r="L220" s="61"/>
      <c r="M220" s="61"/>
      <c r="N220" s="61"/>
      <c r="O220" s="61"/>
      <c r="P220" s="61"/>
    </row>
    <row r="221" spans="2:16" s="8" customFormat="1">
      <c r="B221" s="61" t="str">
        <f t="shared" si="6"/>
        <v>ZFXK:NSVLI=1495,NAME=BSCBA44_42,NSEI=7245,PSEI=30:LPNBR=50000,PRE=N:RIP="10.170.36.230",RPNBR=50845,RDW=50,RSW=50;</v>
      </c>
      <c r="D221" s="61"/>
      <c r="E221" s="61"/>
      <c r="F221" s="61"/>
      <c r="G221" s="61"/>
      <c r="H221" s="61"/>
      <c r="I221" s="61"/>
      <c r="J221" s="61"/>
      <c r="K221" s="61"/>
      <c r="L221" s="61"/>
      <c r="M221" s="61"/>
      <c r="N221" s="61"/>
      <c r="O221" s="61"/>
      <c r="P221" s="61"/>
    </row>
    <row r="222" spans="2:16" s="8" customFormat="1">
      <c r="B222" s="61" t="str">
        <f t="shared" si="6"/>
        <v>ZFXK:NSVLI=1496,NAME=BSCBA44_43,NSEI=7246,PSEI=31:LPNBR=50000,PRE=N:RIP="10.170.36.230",RPNBR=50846,RDW=50,RSW=50;</v>
      </c>
      <c r="D222" s="61"/>
      <c r="E222" s="61"/>
      <c r="F222" s="61"/>
      <c r="G222" s="61"/>
      <c r="H222" s="61"/>
      <c r="I222" s="61"/>
      <c r="J222" s="61"/>
      <c r="K222" s="61"/>
      <c r="L222" s="61"/>
      <c r="M222" s="61"/>
      <c r="N222" s="61"/>
      <c r="O222" s="61"/>
      <c r="P222" s="61"/>
    </row>
    <row r="223" spans="2:16" s="8" customFormat="1">
      <c r="B223" s="61" t="str">
        <f t="shared" si="6"/>
        <v>ZFXK:NSVLI=1497,NAME=BSCBA44_44,NSEI=7247,PSEI=32:LPNBR=50000,PRE=N:RIP="10.170.36.230",RPNBR=50847,RDW=50,RSW=50;</v>
      </c>
      <c r="D223" s="61"/>
      <c r="E223" s="61"/>
      <c r="F223" s="61"/>
      <c r="G223" s="61"/>
      <c r="H223" s="61"/>
      <c r="I223" s="61"/>
      <c r="J223" s="61"/>
      <c r="K223" s="61"/>
      <c r="L223" s="61"/>
      <c r="M223" s="61"/>
      <c r="N223" s="61"/>
      <c r="O223" s="61"/>
      <c r="P223" s="61"/>
    </row>
    <row r="224" spans="2:16" s="8" customFormat="1">
      <c r="B224" s="61" t="str">
        <f t="shared" si="6"/>
        <v/>
      </c>
      <c r="D224" s="61"/>
      <c r="E224" s="61"/>
      <c r="F224" s="61"/>
      <c r="G224" s="61"/>
      <c r="H224" s="61"/>
      <c r="I224" s="61"/>
      <c r="J224" s="61"/>
      <c r="K224" s="61"/>
      <c r="L224" s="61"/>
      <c r="M224" s="61"/>
      <c r="N224" s="61"/>
      <c r="O224" s="61"/>
      <c r="P224" s="61"/>
    </row>
    <row r="225" spans="2:16" s="8" customFormat="1">
      <c r="B225" s="61" t="str">
        <f t="shared" si="6"/>
        <v/>
      </c>
      <c r="D225" s="61"/>
      <c r="E225" s="61"/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</row>
    <row r="226" spans="2:16" s="8" customFormat="1">
      <c r="B226" s="61" t="str">
        <f t="shared" si="6"/>
        <v/>
      </c>
      <c r="D226" s="61"/>
      <c r="E226" s="61"/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</row>
    <row r="227" spans="2:16" s="8" customFormat="1">
      <c r="B227" s="61" t="str">
        <f t="shared" si="6"/>
        <v/>
      </c>
      <c r="D227" s="61"/>
      <c r="E227" s="61"/>
      <c r="F227" s="61"/>
      <c r="G227" s="61"/>
      <c r="H227" s="61"/>
      <c r="I227" s="61"/>
      <c r="J227" s="61"/>
      <c r="K227" s="61"/>
      <c r="L227" s="61"/>
      <c r="M227" s="61"/>
      <c r="N227" s="61"/>
      <c r="O227" s="61"/>
      <c r="P227" s="61"/>
    </row>
    <row r="228" spans="2:16" s="8" customFormat="1">
      <c r="B228" s="61" t="str">
        <f t="shared" si="6"/>
        <v/>
      </c>
      <c r="D228" s="61"/>
      <c r="E228" s="61"/>
      <c r="F228" s="61"/>
      <c r="G228" s="61"/>
      <c r="H228" s="61"/>
      <c r="I228" s="61"/>
      <c r="J228" s="61"/>
      <c r="K228" s="61"/>
      <c r="L228" s="61"/>
      <c r="M228" s="61"/>
      <c r="N228" s="61"/>
      <c r="O228" s="61"/>
      <c r="P228" s="61"/>
    </row>
    <row r="229" spans="2:16" s="8" customFormat="1">
      <c r="B229" s="61" t="str">
        <f t="shared" si="6"/>
        <v/>
      </c>
      <c r="D229" s="61"/>
      <c r="E229" s="61"/>
      <c r="F229" s="61"/>
      <c r="G229" s="61"/>
      <c r="H229" s="61"/>
      <c r="I229" s="61"/>
      <c r="J229" s="61"/>
      <c r="K229" s="61"/>
      <c r="L229" s="61"/>
      <c r="M229" s="61"/>
      <c r="N229" s="61"/>
      <c r="O229" s="61"/>
      <c r="P229" s="61"/>
    </row>
    <row r="230" spans="2:16" s="8" customFormat="1">
      <c r="B230" s="61"/>
      <c r="D230" s="61"/>
      <c r="E230" s="61"/>
      <c r="F230" s="61"/>
      <c r="G230" s="61"/>
      <c r="H230" s="61"/>
      <c r="I230" s="61"/>
      <c r="J230" s="61"/>
      <c r="K230" s="61"/>
      <c r="L230" s="61"/>
      <c r="M230" s="61"/>
      <c r="N230" s="61"/>
      <c r="O230" s="61"/>
      <c r="P230" s="61"/>
    </row>
    <row r="231" spans="2:16" s="8" customFormat="1">
      <c r="B231" s="27" t="s">
        <v>38</v>
      </c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</row>
    <row r="232" spans="2:16" s="8" customFormat="1">
      <c r="B232" s="60" t="s">
        <v>97</v>
      </c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</row>
    <row r="233" spans="2:16" s="8" customFormat="1">
      <c r="B233" s="27" t="str">
        <f>CONCATENATE("ZEBF:MCC=724,MNC=05,LAC=",D6,",RAC=",C6,";")</f>
        <v>ZEBF:MCC=724,MNC=05,LAC=571,RAC=1;</v>
      </c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</row>
    <row r="234" spans="2:16" s="8" customFormat="1">
      <c r="B234" s="27" t="str">
        <f t="shared" ref="B234:B239" si="7">IF(P6&lt;&gt;"",CONCATENATE("ZEBH:MCC=724,MNC=05,LAC=",D6,",RAC=",C6,":A:NSEI=",P6,";"),"")</f>
        <v>ZEBH:MCC=724,MNC=05,LAC=571,RAC=1:A:NSEI=7212;</v>
      </c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</row>
    <row r="235" spans="2:16" s="8" customFormat="1">
      <c r="B235" s="61" t="str">
        <f t="shared" si="7"/>
        <v>ZEBH:MCC=724,MNC=05,LAC=571,RAC=1:A:NSEI=7213;</v>
      </c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</row>
    <row r="236" spans="2:16" s="8" customFormat="1">
      <c r="B236" s="61" t="str">
        <f t="shared" si="7"/>
        <v>ZEBH:MCC=724,MNC=05,LAC=571,RAC=1:A:NSEI=7214;</v>
      </c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</row>
    <row r="237" spans="2:16" s="8" customFormat="1">
      <c r="B237" s="61" t="str">
        <f t="shared" si="7"/>
        <v>ZEBH:MCC=724,MNC=05,LAC=571,RAC=1:A:NSEI=7215;</v>
      </c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</row>
    <row r="238" spans="2:16" s="8" customFormat="1">
      <c r="B238" s="61" t="str">
        <f t="shared" si="7"/>
        <v>ZEBH:MCC=724,MNC=05,LAC=571,RAC=1:A:NSEI=7216;</v>
      </c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</row>
    <row r="239" spans="2:16" s="8" customFormat="1">
      <c r="B239" s="61" t="str">
        <f t="shared" si="7"/>
        <v>ZEBH:MCC=724,MNC=05,LAC=571,RAC=1:A:NSEI=7217;</v>
      </c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</row>
    <row r="240" spans="2:16" s="8" customFormat="1">
      <c r="B240" s="61" t="str">
        <f t="shared" ref="B240:B274" si="8">IF(P12&lt;&gt;"",CONCATENATE("ZEBH:MCC=724,MNC=05,LAC=",D12,",RAC=",C12,":A:NSEI=",P12,";"),"")</f>
        <v>ZEBH:MCC=724,MNC=05,LAC=571,RAC=1:A:NSEI=7218;</v>
      </c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</row>
    <row r="241" spans="1:16" s="8" customFormat="1">
      <c r="B241" s="61" t="str">
        <f t="shared" si="8"/>
        <v>ZEBH:MCC=724,MNC=05,LAC=571,RAC=1:A:NSEI=7219;</v>
      </c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</row>
    <row r="242" spans="1:16" s="8" customFormat="1">
      <c r="B242" s="61" t="str">
        <f t="shared" si="8"/>
        <v>ZEBH:MCC=724,MNC=05,LAC=571,RAC=1:A:NSEI=7220;</v>
      </c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</row>
    <row r="243" spans="1:16" s="8" customFormat="1">
      <c r="B243" s="61" t="str">
        <f t="shared" si="8"/>
        <v>ZEBH:MCC=724,MNC=05,LAC=571,RAC=1:A:NSEI=7221;</v>
      </c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</row>
    <row r="244" spans="1:16" s="8" customFormat="1">
      <c r="B244" s="61" t="str">
        <f t="shared" si="8"/>
        <v>ZEBH:MCC=724,MNC=05,LAC=571,RAC=1:A:NSEI=7222;</v>
      </c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</row>
    <row r="245" spans="1:16">
      <c r="A245" s="8"/>
      <c r="B245" s="61" t="str">
        <f t="shared" si="8"/>
        <v>ZEBH:MCC=724,MNC=05,LAC=571,RAC=1:A:NSEI=7223;</v>
      </c>
    </row>
    <row r="246" spans="1:16">
      <c r="A246" s="8"/>
      <c r="B246" s="61" t="str">
        <f t="shared" si="8"/>
        <v>ZEBH:MCC=724,MNC=05,LAC=571,RAC=1:A:NSEI=7224;</v>
      </c>
    </row>
    <row r="247" spans="1:16">
      <c r="A247" s="8"/>
      <c r="B247" s="61" t="str">
        <f t="shared" si="8"/>
        <v>ZEBH:MCC=724,MNC=05,LAC=571,RAC=1:A:NSEI=7225;</v>
      </c>
    </row>
    <row r="248" spans="1:16">
      <c r="A248" s="8"/>
      <c r="B248" s="61" t="str">
        <f t="shared" si="8"/>
        <v>ZEBH:MCC=724,MNC=05,LAC=571,RAC=1:A:NSEI=7226;</v>
      </c>
    </row>
    <row r="249" spans="1:16">
      <c r="A249" s="8"/>
      <c r="B249" s="61" t="str">
        <f t="shared" si="8"/>
        <v>ZEBH:MCC=724,MNC=05,LAC=571,RAC=1:A:NSEI=7227;</v>
      </c>
    </row>
    <row r="250" spans="1:16">
      <c r="A250" s="8"/>
      <c r="B250" s="61" t="str">
        <f t="shared" si="8"/>
        <v>ZEBH:MCC=724,MNC=05,LAC=571,RAC=1:A:NSEI=7228;</v>
      </c>
    </row>
    <row r="251" spans="1:16">
      <c r="A251" s="8"/>
      <c r="B251" s="61" t="str">
        <f t="shared" si="8"/>
        <v>ZEBH:MCC=724,MNC=05,LAC=571,RAC=1:A:NSEI=7229;</v>
      </c>
    </row>
    <row r="252" spans="1:16" s="61" customFormat="1">
      <c r="A252" s="8"/>
      <c r="B252" s="61" t="str">
        <f t="shared" si="8"/>
        <v>ZEBH:MCC=724,MNC=05,LAC=571,RAC=1:A:NSEI=7230;</v>
      </c>
      <c r="C252" s="8"/>
    </row>
    <row r="253" spans="1:16" s="61" customFormat="1">
      <c r="A253" s="8"/>
      <c r="B253" s="61" t="str">
        <f t="shared" si="8"/>
        <v>ZEBH:MCC=724,MNC=05,LAC=571,RAC=1:A:NSEI=7231;</v>
      </c>
      <c r="C253" s="8"/>
    </row>
    <row r="254" spans="1:16" s="61" customFormat="1">
      <c r="A254" s="8"/>
      <c r="B254" s="61" t="str">
        <f t="shared" si="8"/>
        <v>ZEBH:MCC=724,MNC=05,LAC=571,RAC=1:A:NSEI=7232;</v>
      </c>
      <c r="C254" s="8"/>
    </row>
    <row r="255" spans="1:16" s="61" customFormat="1">
      <c r="A255" s="8"/>
      <c r="B255" s="61" t="str">
        <f t="shared" si="8"/>
        <v>ZEBH:MCC=724,MNC=05,LAC=571,RAC=1:A:NSEI=7233;</v>
      </c>
      <c r="C255" s="8"/>
    </row>
    <row r="256" spans="1:16" s="61" customFormat="1">
      <c r="A256" s="8"/>
      <c r="B256" s="61" t="str">
        <f t="shared" si="8"/>
        <v>ZEBH:MCC=724,MNC=05,LAC=571,RAC=1:A:NSEI=7234;</v>
      </c>
      <c r="C256" s="8"/>
    </row>
    <row r="257" spans="1:3" s="61" customFormat="1">
      <c r="A257" s="8"/>
      <c r="B257" s="61" t="str">
        <f t="shared" si="8"/>
        <v>ZEBH:MCC=724,MNC=05,LAC=571,RAC=1:A:NSEI=7235;</v>
      </c>
      <c r="C257" s="8"/>
    </row>
    <row r="258" spans="1:3" s="61" customFormat="1">
      <c r="A258" s="8"/>
      <c r="B258" s="61" t="str">
        <f t="shared" si="8"/>
        <v>ZEBH:MCC=724,MNC=05,LAC=571,RAC=1:A:NSEI=7236;</v>
      </c>
      <c r="C258" s="8"/>
    </row>
    <row r="259" spans="1:3" s="61" customFormat="1">
      <c r="A259" s="8"/>
      <c r="B259" s="61" t="str">
        <f t="shared" si="8"/>
        <v>ZEBH:MCC=724,MNC=05,LAC=571,RAC=1:A:NSEI=7237;</v>
      </c>
      <c r="C259" s="8"/>
    </row>
    <row r="260" spans="1:3" s="61" customFormat="1">
      <c r="A260" s="8"/>
      <c r="B260" s="61" t="str">
        <f t="shared" si="8"/>
        <v>ZEBH:MCC=724,MNC=05,LAC=571,RAC=1:A:NSEI=7238;</v>
      </c>
      <c r="C260" s="8"/>
    </row>
    <row r="261" spans="1:3" s="61" customFormat="1">
      <c r="A261" s="8"/>
      <c r="B261" s="61" t="str">
        <f t="shared" si="8"/>
        <v>ZEBH:MCC=724,MNC=05,LAC=571,RAC=1:A:NSEI=7239;</v>
      </c>
      <c r="C261" s="8"/>
    </row>
    <row r="262" spans="1:3" s="61" customFormat="1">
      <c r="A262" s="8"/>
      <c r="B262" s="61" t="str">
        <f t="shared" si="8"/>
        <v>ZEBH:MCC=724,MNC=05,LAC=571,RAC=1:A:NSEI=7240;</v>
      </c>
      <c r="C262" s="8"/>
    </row>
    <row r="263" spans="1:3" s="61" customFormat="1">
      <c r="A263" s="8"/>
      <c r="B263" s="61" t="str">
        <f t="shared" si="8"/>
        <v>ZEBH:MCC=724,MNC=05,LAC=571,RAC=1:A:NSEI=7241;</v>
      </c>
      <c r="C263" s="8"/>
    </row>
    <row r="264" spans="1:3" s="61" customFormat="1">
      <c r="A264" s="8"/>
      <c r="B264" s="61" t="str">
        <f t="shared" si="8"/>
        <v>ZEBH:MCC=724,MNC=05,LAC=571,RAC=1:A:NSEI=7242;</v>
      </c>
      <c r="C264" s="8"/>
    </row>
    <row r="265" spans="1:3" s="61" customFormat="1">
      <c r="A265" s="8"/>
      <c r="B265" s="61" t="str">
        <f t="shared" si="8"/>
        <v>ZEBH:MCC=724,MNC=05,LAC=571,RAC=1:A:NSEI=7243;</v>
      </c>
      <c r="C265" s="8"/>
    </row>
    <row r="266" spans="1:3" s="61" customFormat="1">
      <c r="A266" s="8"/>
      <c r="B266" s="61" t="str">
        <f t="shared" si="8"/>
        <v>ZEBH:MCC=724,MNC=05,LAC=571,RAC=1:A:NSEI=7244;</v>
      </c>
      <c r="C266" s="8"/>
    </row>
    <row r="267" spans="1:3" s="61" customFormat="1">
      <c r="A267" s="8"/>
      <c r="B267" s="61" t="str">
        <f t="shared" si="8"/>
        <v>ZEBH:MCC=724,MNC=05,LAC=571,RAC=1:A:NSEI=7245;</v>
      </c>
      <c r="C267" s="8"/>
    </row>
    <row r="268" spans="1:3" s="61" customFormat="1">
      <c r="A268" s="8"/>
      <c r="B268" s="61" t="str">
        <f t="shared" si="8"/>
        <v>ZEBH:MCC=724,MNC=05,LAC=571,RAC=1:A:NSEI=7246;</v>
      </c>
      <c r="C268" s="8"/>
    </row>
    <row r="269" spans="1:3" s="61" customFormat="1">
      <c r="A269" s="8"/>
      <c r="B269" s="61" t="str">
        <f t="shared" si="8"/>
        <v>ZEBH:MCC=724,MNC=05,LAC=571,RAC=1:A:NSEI=7247;</v>
      </c>
      <c r="C269" s="8"/>
    </row>
    <row r="270" spans="1:3" s="61" customFormat="1">
      <c r="A270" s="8"/>
      <c r="B270" s="61" t="str">
        <f t="shared" si="8"/>
        <v/>
      </c>
      <c r="C270" s="8"/>
    </row>
    <row r="271" spans="1:3" s="61" customFormat="1">
      <c r="A271" s="8"/>
      <c r="B271" s="61" t="str">
        <f t="shared" si="8"/>
        <v/>
      </c>
      <c r="C271" s="8"/>
    </row>
    <row r="272" spans="1:3" s="61" customFormat="1">
      <c r="A272" s="8"/>
      <c r="B272" s="61" t="str">
        <f t="shared" si="8"/>
        <v/>
      </c>
      <c r="C272" s="8"/>
    </row>
    <row r="273" spans="1:3" s="61" customFormat="1">
      <c r="A273" s="8"/>
      <c r="B273" s="61" t="str">
        <f t="shared" si="8"/>
        <v/>
      </c>
      <c r="C273" s="8"/>
    </row>
    <row r="274" spans="1:3" s="61" customFormat="1">
      <c r="A274" s="8"/>
      <c r="B274" s="61" t="str">
        <f t="shared" si="8"/>
        <v/>
      </c>
      <c r="C274" s="8"/>
    </row>
    <row r="275" spans="1:3" s="61" customFormat="1">
      <c r="C275" s="8"/>
    </row>
    <row r="276" spans="1:3">
      <c r="B276" s="60" t="s">
        <v>38</v>
      </c>
    </row>
    <row r="277" spans="1:3">
      <c r="B277" s="61" t="s">
        <v>98</v>
      </c>
    </row>
    <row r="278" spans="1:3">
      <c r="B278" s="61" t="str">
        <f t="shared" ref="B278:B283" si="9">IF(G6&lt;&gt;"",CONCATENATE("ZQRX:BCSU,",E6,":PCU2E,",F6,":PING:IP=""",G6,""";"),"")</f>
        <v>ZQRX:BCSU,2:PCU2E,7:PING:IP="10.170.34.65";</v>
      </c>
    </row>
    <row r="279" spans="1:3">
      <c r="B279" s="61" t="str">
        <f t="shared" si="9"/>
        <v>ZQRX:BCSU,2:PCU2E,8:PING:IP="10.170.34.65";</v>
      </c>
    </row>
    <row r="280" spans="1:3">
      <c r="B280" s="61" t="str">
        <f t="shared" si="9"/>
        <v>ZQRX:BCSU,2:PCU2E,4:PING:IP="10.170.34.65";</v>
      </c>
    </row>
    <row r="281" spans="1:3">
      <c r="B281" s="61" t="str">
        <f t="shared" si="9"/>
        <v>ZQRX:BCSU,2:PCU2E,3:PING:IP="10.170.34.65";</v>
      </c>
    </row>
    <row r="282" spans="1:3">
      <c r="B282" s="61" t="str">
        <f t="shared" si="9"/>
        <v>ZQRX:BCSU,2:PCU2E,5:PING:IP="10.170.34.65";</v>
      </c>
    </row>
    <row r="283" spans="1:3">
      <c r="B283" s="61" t="str">
        <f t="shared" si="9"/>
        <v>ZQRX:BCSU,2:PCU2E,6:PING:IP="10.170.34.65";</v>
      </c>
    </row>
    <row r="284" spans="1:3">
      <c r="A284" s="61"/>
      <c r="B284" s="61" t="str">
        <f t="shared" ref="B284:B319" si="10">IF(G12&lt;&gt;"",CONCATENATE("ZQRX:BCSU,",E12,":PCU2E,",F12,":PING:IP=""",G12,""";"),"")</f>
        <v>ZQRX:BCSU,3:PCU2E,7:PING:IP="10.170.34.65";</v>
      </c>
    </row>
    <row r="285" spans="1:3">
      <c r="A285" s="61"/>
      <c r="B285" s="61" t="str">
        <f t="shared" si="10"/>
        <v>ZQRX:BCSU,3:PCU2E,8:PING:IP="10.170.34.65";</v>
      </c>
    </row>
    <row r="286" spans="1:3">
      <c r="A286" s="61"/>
      <c r="B286" s="61" t="str">
        <f t="shared" si="10"/>
        <v>ZQRX:BCSU,3:PCU2E,4:PING:IP="10.170.34.65";</v>
      </c>
    </row>
    <row r="287" spans="1:3">
      <c r="A287" s="61"/>
      <c r="B287" s="61" t="str">
        <f t="shared" si="10"/>
        <v>ZQRX:BCSU,3:PCU2E,3:PING:IP="10.170.34.65";</v>
      </c>
    </row>
    <row r="288" spans="1:3">
      <c r="A288" s="61"/>
      <c r="B288" s="61" t="str">
        <f t="shared" si="10"/>
        <v>ZQRX:BCSU,3:PCU2E,5:PING:IP="10.170.34.65";</v>
      </c>
    </row>
    <row r="289" spans="1:3">
      <c r="A289" s="61"/>
      <c r="B289" s="61" t="str">
        <f t="shared" si="10"/>
        <v>ZQRX:BCSU,3:PCU2E,6:PING:IP="10.170.34.65";</v>
      </c>
    </row>
    <row r="290" spans="1:3">
      <c r="A290" s="61"/>
      <c r="B290" s="61" t="str">
        <f t="shared" si="10"/>
        <v>ZQRX:BCSU,4:PCU2E,7:PING:IP="10.170.34.65";</v>
      </c>
    </row>
    <row r="291" spans="1:3">
      <c r="A291" s="61"/>
      <c r="B291" s="61" t="str">
        <f t="shared" si="10"/>
        <v>ZQRX:BCSU,4:PCU2E,8:PING:IP="10.170.34.65";</v>
      </c>
    </row>
    <row r="292" spans="1:3">
      <c r="A292" s="61"/>
      <c r="B292" s="61" t="str">
        <f t="shared" si="10"/>
        <v>ZQRX:BCSU,4:PCU2E,4:PING:IP="10.170.34.65";</v>
      </c>
    </row>
    <row r="293" spans="1:3">
      <c r="A293" s="61"/>
      <c r="B293" s="61" t="str">
        <f t="shared" si="10"/>
        <v>ZQRX:BCSU,4:PCU2E,3:PING:IP="10.170.34.65";</v>
      </c>
    </row>
    <row r="294" spans="1:3">
      <c r="A294" s="61"/>
      <c r="B294" s="61" t="str">
        <f t="shared" si="10"/>
        <v>ZQRX:BCSU,4:PCU2E,5:PING:IP="10.170.34.65";</v>
      </c>
    </row>
    <row r="295" spans="1:3">
      <c r="A295" s="61"/>
      <c r="B295" s="61" t="str">
        <f t="shared" si="10"/>
        <v>ZQRX:BCSU,4:PCU2E,6:PING:IP="10.170.34.65";</v>
      </c>
    </row>
    <row r="296" spans="1:3" s="61" customFormat="1">
      <c r="B296" s="61" t="str">
        <f t="shared" si="10"/>
        <v>ZQRX:BCSU,5:PCU2E,7:PING:IP="10.170.34.65";</v>
      </c>
      <c r="C296" s="8"/>
    </row>
    <row r="297" spans="1:3" s="61" customFormat="1">
      <c r="B297" s="61" t="str">
        <f t="shared" si="10"/>
        <v>ZQRX:BCSU,5:PCU2E,8:PING:IP="10.170.34.65";</v>
      </c>
      <c r="C297" s="8"/>
    </row>
    <row r="298" spans="1:3" s="61" customFormat="1">
      <c r="B298" s="61" t="str">
        <f t="shared" si="10"/>
        <v>ZQRX:BCSU,5:PCU2E,4:PING:IP="10.170.34.65";</v>
      </c>
      <c r="C298" s="8"/>
    </row>
    <row r="299" spans="1:3" s="61" customFormat="1">
      <c r="B299" s="61" t="str">
        <f t="shared" si="10"/>
        <v>ZQRX:BCSU,5:PCU2E,3:PING:IP="10.170.34.65";</v>
      </c>
      <c r="C299" s="8"/>
    </row>
    <row r="300" spans="1:3" s="61" customFormat="1">
      <c r="B300" s="61" t="str">
        <f t="shared" si="10"/>
        <v>ZQRX:BCSU,5:PCU2E,5:PING:IP="10.170.34.65";</v>
      </c>
      <c r="C300" s="8"/>
    </row>
    <row r="301" spans="1:3" s="61" customFormat="1">
      <c r="B301" s="61" t="str">
        <f t="shared" si="10"/>
        <v>ZQRX:BCSU,5:PCU2E,6:PING:IP="10.170.34.65";</v>
      </c>
      <c r="C301" s="8"/>
    </row>
    <row r="302" spans="1:3" s="61" customFormat="1">
      <c r="B302" s="61" t="str">
        <f t="shared" si="10"/>
        <v>ZQRX:BCSU,6:PCU2E,7:PING:IP="10.170.34.65";</v>
      </c>
      <c r="C302" s="8"/>
    </row>
    <row r="303" spans="1:3" s="61" customFormat="1">
      <c r="B303" s="61" t="str">
        <f t="shared" si="10"/>
        <v>ZQRX:BCSU,6:PCU2E,8:PING:IP="10.170.34.65";</v>
      </c>
      <c r="C303" s="8"/>
    </row>
    <row r="304" spans="1:3" s="61" customFormat="1">
      <c r="B304" s="61" t="str">
        <f t="shared" si="10"/>
        <v>ZQRX:BCSU,6:PCU2E,4:PING:IP="10.170.34.65";</v>
      </c>
      <c r="C304" s="8"/>
    </row>
    <row r="305" spans="2:3" s="61" customFormat="1">
      <c r="B305" s="61" t="str">
        <f t="shared" si="10"/>
        <v>ZQRX:BCSU,6:PCU2E,3:PING:IP="10.170.34.65";</v>
      </c>
      <c r="C305" s="8"/>
    </row>
    <row r="306" spans="2:3" s="61" customFormat="1">
      <c r="B306" s="61" t="str">
        <f t="shared" si="10"/>
        <v>ZQRX:BCSU,6:PCU2E,5:PING:IP="10.170.34.65";</v>
      </c>
      <c r="C306" s="8"/>
    </row>
    <row r="307" spans="2:3" s="61" customFormat="1">
      <c r="B307" s="61" t="str">
        <f t="shared" si="10"/>
        <v>ZQRX:BCSU,6:PCU2E,6:PING:IP="10.170.34.65";</v>
      </c>
      <c r="C307" s="8"/>
    </row>
    <row r="308" spans="2:3" s="61" customFormat="1">
      <c r="B308" s="61" t="str">
        <f t="shared" si="10"/>
        <v>ZQRX:BCSU,8:PCU2E,7:PING:IP="10.170.34.65";</v>
      </c>
      <c r="C308" s="8"/>
    </row>
    <row r="309" spans="2:3" s="61" customFormat="1">
      <c r="B309" s="61" t="str">
        <f t="shared" si="10"/>
        <v>ZQRX:BCSU,8:PCU2E,8:PING:IP="10.170.34.65";</v>
      </c>
      <c r="C309" s="8"/>
    </row>
    <row r="310" spans="2:3" s="61" customFormat="1">
      <c r="B310" s="61" t="str">
        <f t="shared" si="10"/>
        <v>ZQRX:BCSU,8:PCU2E,4:PING:IP="10.170.34.65";</v>
      </c>
      <c r="C310" s="8"/>
    </row>
    <row r="311" spans="2:3" s="61" customFormat="1">
      <c r="B311" s="61" t="str">
        <f t="shared" si="10"/>
        <v>ZQRX:BCSU,8:PCU2E,3:PING:IP="10.170.34.65";</v>
      </c>
      <c r="C311" s="8"/>
    </row>
    <row r="312" spans="2:3" s="61" customFormat="1">
      <c r="B312" s="61" t="str">
        <f t="shared" si="10"/>
        <v>ZQRX:BCSU,8:PCU2E,5:PING:IP="10.170.34.65";</v>
      </c>
      <c r="C312" s="8"/>
    </row>
    <row r="313" spans="2:3" s="61" customFormat="1">
      <c r="B313" s="61" t="str">
        <f t="shared" si="10"/>
        <v>ZQRX:BCSU,8:PCU2E,6:PING:IP="10.170.34.65";</v>
      </c>
      <c r="C313" s="8"/>
    </row>
    <row r="314" spans="2:3" s="61" customFormat="1">
      <c r="B314" s="61" t="str">
        <f t="shared" si="10"/>
        <v/>
      </c>
      <c r="C314" s="8"/>
    </row>
    <row r="315" spans="2:3" s="61" customFormat="1">
      <c r="B315" s="61" t="str">
        <f t="shared" si="10"/>
        <v/>
      </c>
      <c r="C315" s="8"/>
    </row>
    <row r="316" spans="2:3" s="61" customFormat="1">
      <c r="B316" s="61" t="str">
        <f t="shared" si="10"/>
        <v/>
      </c>
      <c r="C316" s="8"/>
    </row>
    <row r="317" spans="2:3" s="61" customFormat="1">
      <c r="B317" s="61" t="str">
        <f t="shared" si="10"/>
        <v/>
      </c>
      <c r="C317" s="8"/>
    </row>
    <row r="318" spans="2:3" s="61" customFormat="1">
      <c r="B318" s="61" t="str">
        <f t="shared" si="10"/>
        <v/>
      </c>
      <c r="C318" s="8"/>
    </row>
    <row r="319" spans="2:3" s="61" customFormat="1">
      <c r="B319" s="61" t="str">
        <f t="shared" si="10"/>
        <v/>
      </c>
      <c r="C319" s="8"/>
    </row>
    <row r="320" spans="2:3" s="61" customFormat="1">
      <c r="C320" s="8"/>
    </row>
    <row r="321" spans="1:2">
      <c r="B321" s="60" t="str">
        <f t="shared" ref="B321:B326" si="11">IF(M6&lt;&gt;"",CONCATENATE("ZQRX:BCSU,",E6,":PCU2E,",F6,":PING:IP=""",M6,""";"),"")</f>
        <v>ZQRX:BCSU,2:PCU2E,7:PING:IP="10.170.36.228";</v>
      </c>
    </row>
    <row r="322" spans="1:2">
      <c r="B322" s="60" t="str">
        <f t="shared" si="11"/>
        <v>ZQRX:BCSU,2:PCU2E,8:PING:IP="10.170.36.228";</v>
      </c>
    </row>
    <row r="323" spans="1:2">
      <c r="B323" s="60" t="str">
        <f t="shared" si="11"/>
        <v>ZQRX:BCSU,2:PCU2E,4:PING:IP="10.170.36.228";</v>
      </c>
    </row>
    <row r="324" spans="1:2">
      <c r="B324" s="60" t="str">
        <f t="shared" si="11"/>
        <v>ZQRX:BCSU,2:PCU2E,3:PING:IP="10.170.36.228";</v>
      </c>
    </row>
    <row r="325" spans="1:2">
      <c r="B325" s="60" t="str">
        <f t="shared" si="11"/>
        <v>ZQRX:BCSU,2:PCU2E,5:PING:IP="10.170.36.229";</v>
      </c>
    </row>
    <row r="326" spans="1:2">
      <c r="B326" s="60" t="str">
        <f t="shared" si="11"/>
        <v>ZQRX:BCSU,2:PCU2E,6:PING:IP="10.170.36.229";</v>
      </c>
    </row>
    <row r="327" spans="1:2">
      <c r="A327" s="61"/>
      <c r="B327" s="61" t="str">
        <f t="shared" ref="B327:B362" si="12">IF(M12&lt;&gt;"",CONCATENATE("ZQRX:BCSU,",E12,":PCU2E,",F12,":PING:IP=""",M12,""";"),"")</f>
        <v>ZQRX:BCSU,3:PCU2E,7:PING:IP="10.170.36.229";</v>
      </c>
    </row>
    <row r="328" spans="1:2">
      <c r="A328" s="61"/>
      <c r="B328" s="61" t="str">
        <f t="shared" si="12"/>
        <v>ZQRX:BCSU,3:PCU2E,8:PING:IP="10.170.36.229";</v>
      </c>
    </row>
    <row r="329" spans="1:2">
      <c r="A329" s="61"/>
      <c r="B329" s="61" t="str">
        <f t="shared" si="12"/>
        <v>ZQRX:BCSU,3:PCU2E,4:PING:IP="10.170.36.229";</v>
      </c>
    </row>
    <row r="330" spans="1:2">
      <c r="A330" s="61"/>
      <c r="B330" s="61" t="str">
        <f t="shared" si="12"/>
        <v>ZQRX:BCSU,3:PCU2E,3:PING:IP="10.170.36.229";</v>
      </c>
    </row>
    <row r="331" spans="1:2">
      <c r="A331" s="61"/>
      <c r="B331" s="61" t="str">
        <f t="shared" si="12"/>
        <v>ZQRX:BCSU,3:PCU2E,5:PING:IP="10.170.36.229";</v>
      </c>
    </row>
    <row r="332" spans="1:2">
      <c r="A332" s="61"/>
      <c r="B332" s="61" t="str">
        <f t="shared" si="12"/>
        <v>ZQRX:BCSU,3:PCU2E,6:PING:IP="10.170.36.229";</v>
      </c>
    </row>
    <row r="333" spans="1:2">
      <c r="A333" s="61"/>
      <c r="B333" s="61" t="str">
        <f t="shared" si="12"/>
        <v>ZQRX:BCSU,4:PCU2E,7:PING:IP="10.170.36.229";</v>
      </c>
    </row>
    <row r="334" spans="1:2">
      <c r="A334" s="61"/>
      <c r="B334" s="61" t="str">
        <f t="shared" si="12"/>
        <v>ZQRX:BCSU,4:PCU2E,8:PING:IP="10.170.36.229";</v>
      </c>
    </row>
    <row r="335" spans="1:2">
      <c r="A335" s="61"/>
      <c r="B335" s="61" t="str">
        <f t="shared" si="12"/>
        <v>ZQRX:BCSU,4:PCU2E,4:PING:IP="10.170.36.229";</v>
      </c>
    </row>
    <row r="336" spans="1:2">
      <c r="A336" s="61"/>
      <c r="B336" s="61" t="str">
        <f t="shared" si="12"/>
        <v>ZQRX:BCSU,4:PCU2E,3:PING:IP="10.170.36.229";</v>
      </c>
    </row>
    <row r="337" spans="1:2">
      <c r="A337" s="61"/>
      <c r="B337" s="61" t="str">
        <f t="shared" si="12"/>
        <v>ZQRX:BCSU,4:PCU2E,5:PING:IP="10.170.36.229";</v>
      </c>
    </row>
    <row r="338" spans="1:2">
      <c r="A338" s="61"/>
      <c r="B338" s="61" t="str">
        <f t="shared" si="12"/>
        <v>ZQRX:BCSU,4:PCU2E,6:PING:IP="10.170.36.229";</v>
      </c>
    </row>
    <row r="339" spans="1:2">
      <c r="A339" s="61"/>
      <c r="B339" s="61" t="str">
        <f t="shared" si="12"/>
        <v>ZQRX:BCSU,5:PCU2E,7:PING:IP="10.170.36.229";</v>
      </c>
    </row>
    <row r="340" spans="1:2">
      <c r="A340" s="61"/>
      <c r="B340" s="61" t="str">
        <f t="shared" si="12"/>
        <v>ZQRX:BCSU,5:PCU2E,8:PING:IP="10.170.36.229";</v>
      </c>
    </row>
    <row r="341" spans="1:2">
      <c r="A341" s="61"/>
      <c r="B341" s="61" t="str">
        <f t="shared" si="12"/>
        <v>ZQRX:BCSU,5:PCU2E,4:PING:IP="10.170.36.230";</v>
      </c>
    </row>
    <row r="342" spans="1:2">
      <c r="A342" s="61"/>
      <c r="B342" s="61" t="str">
        <f t="shared" si="12"/>
        <v>ZQRX:BCSU,5:PCU2E,3:PING:IP="10.170.36.230";</v>
      </c>
    </row>
    <row r="343" spans="1:2">
      <c r="A343" s="61"/>
      <c r="B343" s="61" t="str">
        <f t="shared" si="12"/>
        <v>ZQRX:BCSU,5:PCU2E,5:PING:IP="10.170.36.230";</v>
      </c>
    </row>
    <row r="344" spans="1:2">
      <c r="A344" s="61"/>
      <c r="B344" s="61" t="str">
        <f t="shared" si="12"/>
        <v>ZQRX:BCSU,5:PCU2E,6:PING:IP="10.170.36.230";</v>
      </c>
    </row>
    <row r="345" spans="1:2">
      <c r="A345" s="61"/>
      <c r="B345" s="61" t="str">
        <f t="shared" si="12"/>
        <v>ZQRX:BCSU,6:PCU2E,7:PING:IP="10.170.36.230";</v>
      </c>
    </row>
    <row r="346" spans="1:2">
      <c r="A346" s="61"/>
      <c r="B346" s="61" t="str">
        <f t="shared" si="12"/>
        <v>ZQRX:BCSU,6:PCU2E,8:PING:IP="10.170.36.230";</v>
      </c>
    </row>
    <row r="347" spans="1:2">
      <c r="A347" s="61"/>
      <c r="B347" s="61" t="str">
        <f t="shared" si="12"/>
        <v>ZQRX:BCSU,6:PCU2E,4:PING:IP="10.170.36.230";</v>
      </c>
    </row>
    <row r="348" spans="1:2">
      <c r="A348" s="61"/>
      <c r="B348" s="61" t="str">
        <f t="shared" si="12"/>
        <v>ZQRX:BCSU,6:PCU2E,3:PING:IP="10.170.36.230";</v>
      </c>
    </row>
    <row r="349" spans="1:2">
      <c r="A349" s="61"/>
      <c r="B349" s="61" t="str">
        <f t="shared" si="12"/>
        <v>ZQRX:BCSU,6:PCU2E,5:PING:IP="10.170.36.230";</v>
      </c>
    </row>
    <row r="350" spans="1:2">
      <c r="A350" s="61"/>
      <c r="B350" s="61" t="str">
        <f t="shared" si="12"/>
        <v>ZQRX:BCSU,6:PCU2E,6:PING:IP="10.170.36.230";</v>
      </c>
    </row>
    <row r="351" spans="1:2">
      <c r="A351" s="61"/>
      <c r="B351" s="61" t="str">
        <f t="shared" si="12"/>
        <v>ZQRX:BCSU,8:PCU2E,7:PING:IP="10.170.36.230";</v>
      </c>
    </row>
    <row r="352" spans="1:2">
      <c r="A352" s="61"/>
      <c r="B352" s="61" t="str">
        <f t="shared" si="12"/>
        <v>ZQRX:BCSU,8:PCU2E,8:PING:IP="10.170.36.230";</v>
      </c>
    </row>
    <row r="353" spans="1:2">
      <c r="A353" s="61"/>
      <c r="B353" s="61" t="str">
        <f t="shared" si="12"/>
        <v>ZQRX:BCSU,8:PCU2E,4:PING:IP="10.170.36.230";</v>
      </c>
    </row>
    <row r="354" spans="1:2">
      <c r="A354" s="61"/>
      <c r="B354" s="61" t="str">
        <f t="shared" si="12"/>
        <v>ZQRX:BCSU,8:PCU2E,3:PING:IP="10.170.36.230";</v>
      </c>
    </row>
    <row r="355" spans="1:2">
      <c r="A355" s="61"/>
      <c r="B355" s="61" t="str">
        <f t="shared" si="12"/>
        <v>ZQRX:BCSU,8:PCU2E,5:PING:IP="10.170.36.230";</v>
      </c>
    </row>
    <row r="356" spans="1:2">
      <c r="A356" s="61"/>
      <c r="B356" s="61" t="str">
        <f t="shared" si="12"/>
        <v>ZQRX:BCSU,8:PCU2E,6:PING:IP="10.170.36.230";</v>
      </c>
    </row>
    <row r="357" spans="1:2">
      <c r="A357" s="61"/>
      <c r="B357" s="61" t="str">
        <f t="shared" si="12"/>
        <v/>
      </c>
    </row>
    <row r="358" spans="1:2">
      <c r="A358" s="61"/>
      <c r="B358" s="61" t="str">
        <f t="shared" si="12"/>
        <v/>
      </c>
    </row>
    <row r="359" spans="1:2">
      <c r="A359" s="61"/>
      <c r="B359" s="61" t="str">
        <f t="shared" si="12"/>
        <v/>
      </c>
    </row>
    <row r="360" spans="1:2">
      <c r="A360" s="61"/>
      <c r="B360" s="61" t="str">
        <f t="shared" si="12"/>
        <v/>
      </c>
    </row>
    <row r="361" spans="1:2">
      <c r="A361" s="61"/>
      <c r="B361" s="61" t="str">
        <f t="shared" si="12"/>
        <v/>
      </c>
    </row>
    <row r="362" spans="1:2">
      <c r="A362" s="61"/>
      <c r="B362" s="61" t="str">
        <f t="shared" si="12"/>
        <v/>
      </c>
    </row>
    <row r="363" spans="1:2">
      <c r="B363" s="60"/>
    </row>
  </sheetData>
  <protectedRanges>
    <protectedRange sqref="B6:V47" name="Range1"/>
  </protectedRanges>
  <mergeCells count="11">
    <mergeCell ref="L4:O4"/>
    <mergeCell ref="P4:P5"/>
    <mergeCell ref="Q4:U4"/>
    <mergeCell ref="V4:V5"/>
    <mergeCell ref="B2:P2"/>
    <mergeCell ref="B4:B5"/>
    <mergeCell ref="C4:C5"/>
    <mergeCell ref="D4:D5"/>
    <mergeCell ref="E4:E5"/>
    <mergeCell ref="F4:F5"/>
    <mergeCell ref="G4:K4"/>
  </mergeCells>
  <printOptions horizontalCentered="1"/>
  <pageMargins left="0.39370078740157483" right="0.39370078740157483" top="3.03" bottom="0.39370078740157483" header="0.19685039370078741" footer="0.19685039370078741"/>
  <pageSetup paperSize="9" scale="71" orientation="landscape" horizontalDpi="355" verticalDpi="464" r:id="rId1"/>
  <headerFooter alignWithMargins="0">
    <oddFooter>&amp;L&amp;"Arial,Negrito"&amp;F&amp;C&amp;"Arial,Negrito"CONFIDENCIAL&amp;R&amp;"Arial,Negrito"&amp;P/&amp;N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08"/>
  <sheetViews>
    <sheetView showGridLines="0" zoomScale="70" zoomScaleNormal="70" workbookViewId="0">
      <selection activeCell="A6" sqref="A6"/>
    </sheetView>
  </sheetViews>
  <sheetFormatPr defaultRowHeight="14.25" customHeight="1"/>
  <cols>
    <col min="1" max="1" width="103.42578125" style="118" customWidth="1"/>
    <col min="2" max="2" width="2.85546875" style="128" customWidth="1"/>
    <col min="3" max="3" width="5.7109375" style="128" bestFit="1" customWidth="1"/>
    <col min="4" max="4" width="5.42578125" style="128" bestFit="1" customWidth="1"/>
    <col min="5" max="5" width="12.85546875" style="128" bestFit="1" customWidth="1"/>
    <col min="6" max="6" width="16.85546875" style="128" bestFit="1" customWidth="1"/>
    <col min="7" max="7" width="32.85546875" style="128" bestFit="1" customWidth="1"/>
    <col min="8" max="8" width="8.140625" style="128" customWidth="1"/>
    <col min="9" max="9" width="7.140625" style="128" customWidth="1"/>
    <col min="10" max="10" width="27.42578125" style="128" bestFit="1" customWidth="1"/>
    <col min="11" max="11" width="17.28515625" style="128" bestFit="1" customWidth="1"/>
    <col min="12" max="12" width="19.140625" style="128" bestFit="1" customWidth="1"/>
    <col min="13" max="13" width="24.85546875" style="128" bestFit="1" customWidth="1"/>
    <col min="14" max="14" width="20" style="128" bestFit="1" customWidth="1"/>
    <col min="15" max="15" width="30.5703125" style="128" bestFit="1" customWidth="1"/>
    <col min="16" max="16" width="32.5703125" style="128" bestFit="1" customWidth="1"/>
    <col min="17" max="17" width="28.85546875" style="128" bestFit="1" customWidth="1"/>
    <col min="18" max="18" width="12.42578125" style="128" bestFit="1" customWidth="1"/>
    <col min="19" max="19" width="7.140625" style="128" bestFit="1" customWidth="1"/>
    <col min="20" max="20" width="14.85546875" style="128" bestFit="1" customWidth="1"/>
    <col min="21" max="21" width="19.28515625" style="128" customWidth="1"/>
    <col min="22" max="22" width="7.140625" style="128" bestFit="1" customWidth="1"/>
    <col min="23" max="16384" width="9.140625" style="128"/>
  </cols>
  <sheetData>
    <row r="1" spans="1:22" ht="14.25" customHeight="1">
      <c r="A1" s="118" t="s">
        <v>196</v>
      </c>
    </row>
    <row r="2" spans="1:22" ht="14.25" customHeight="1">
      <c r="A2" s="117" t="s">
        <v>197</v>
      </c>
    </row>
    <row r="3" spans="1:22" ht="14.25" customHeight="1">
      <c r="A3" s="118" t="str">
        <f ca="1">CONCATENATE("!*** Date: ",YEAR(E4),"-",MONTH(E4),"-",DAY(E4)," **************************************************************************************!")</f>
        <v>!*** Date: 2016-3-18 **************************************************************************************!</v>
      </c>
    </row>
    <row r="4" spans="1:22" ht="14.25" customHeight="1">
      <c r="A4" s="118" t="s">
        <v>196</v>
      </c>
      <c r="E4" s="127">
        <f ca="1">TODAY()</f>
        <v>42447</v>
      </c>
      <c r="F4" s="127"/>
    </row>
    <row r="5" spans="1:22" ht="14.25" customHeight="1" thickBot="1"/>
    <row r="6" spans="1:22" ht="14.25" customHeight="1" thickBot="1">
      <c r="A6" s="129" t="s">
        <v>254</v>
      </c>
      <c r="C6" s="188" t="s">
        <v>199</v>
      </c>
      <c r="D6" s="189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90"/>
    </row>
    <row r="7" spans="1:22" ht="14.25" customHeight="1" thickBot="1">
      <c r="A7" s="130" t="s">
        <v>259</v>
      </c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</row>
    <row r="8" spans="1:22" ht="14.25" customHeight="1" thickBot="1">
      <c r="A8" s="118" t="s">
        <v>264</v>
      </c>
      <c r="C8" s="124" t="s">
        <v>0</v>
      </c>
      <c r="D8" s="125" t="s">
        <v>1</v>
      </c>
      <c r="E8" s="125" t="s">
        <v>2</v>
      </c>
      <c r="F8" s="125" t="s">
        <v>14</v>
      </c>
      <c r="G8" s="125" t="s">
        <v>200</v>
      </c>
      <c r="H8" s="125" t="s">
        <v>19</v>
      </c>
      <c r="I8" s="125" t="s">
        <v>201</v>
      </c>
      <c r="J8" s="125" t="s">
        <v>202</v>
      </c>
      <c r="K8" s="125" t="s">
        <v>203</v>
      </c>
      <c r="L8" s="125" t="s">
        <v>204</v>
      </c>
      <c r="M8" s="125" t="s">
        <v>205</v>
      </c>
      <c r="N8" s="125" t="s">
        <v>206</v>
      </c>
      <c r="O8" s="125" t="s">
        <v>207</v>
      </c>
      <c r="P8" s="125" t="s">
        <v>208</v>
      </c>
      <c r="Q8" s="125" t="s">
        <v>3</v>
      </c>
      <c r="R8" s="125" t="s">
        <v>209</v>
      </c>
      <c r="S8" s="125" t="s">
        <v>4</v>
      </c>
      <c r="T8" s="125" t="s">
        <v>210</v>
      </c>
      <c r="U8" s="125" t="s">
        <v>211</v>
      </c>
      <c r="V8" s="126" t="s">
        <v>5</v>
      </c>
    </row>
    <row r="9" spans="1:22" ht="14.25" customHeight="1">
      <c r="A9" s="118" t="s">
        <v>267</v>
      </c>
      <c r="C9" s="132">
        <v>1</v>
      </c>
      <c r="D9" s="133" t="s">
        <v>215</v>
      </c>
      <c r="E9" s="134" t="s">
        <v>216</v>
      </c>
      <c r="F9" s="134" t="s">
        <v>217</v>
      </c>
      <c r="G9" s="134">
        <v>31</v>
      </c>
      <c r="H9" s="134">
        <v>2</v>
      </c>
      <c r="I9" s="135">
        <v>6</v>
      </c>
      <c r="J9" s="133" t="s">
        <v>218</v>
      </c>
      <c r="K9" s="133" t="s">
        <v>107</v>
      </c>
      <c r="L9" s="133" t="s">
        <v>212</v>
      </c>
      <c r="M9" s="136">
        <v>384</v>
      </c>
      <c r="N9" s="133">
        <v>6</v>
      </c>
      <c r="O9" s="135">
        <v>300</v>
      </c>
      <c r="P9" s="135">
        <v>908</v>
      </c>
      <c r="Q9" s="133">
        <v>1</v>
      </c>
      <c r="R9" s="133" t="s">
        <v>213</v>
      </c>
      <c r="S9" s="133">
        <v>5064</v>
      </c>
      <c r="T9" s="120">
        <v>530</v>
      </c>
      <c r="U9" s="120" t="s">
        <v>236</v>
      </c>
      <c r="V9" s="121">
        <v>530</v>
      </c>
    </row>
    <row r="10" spans="1:22" ht="14.25" customHeight="1">
      <c r="A10" s="118" t="s">
        <v>272</v>
      </c>
      <c r="C10" s="137">
        <v>1</v>
      </c>
      <c r="D10" s="138" t="s">
        <v>215</v>
      </c>
      <c r="E10" s="139" t="s">
        <v>216</v>
      </c>
      <c r="F10" s="139" t="s">
        <v>217</v>
      </c>
      <c r="G10" s="139">
        <v>32</v>
      </c>
      <c r="H10" s="139">
        <v>2</v>
      </c>
      <c r="I10" s="140">
        <v>6</v>
      </c>
      <c r="J10" s="138" t="s">
        <v>219</v>
      </c>
      <c r="K10" s="138" t="s">
        <v>107</v>
      </c>
      <c r="L10" s="138" t="s">
        <v>212</v>
      </c>
      <c r="M10" s="141">
        <v>384</v>
      </c>
      <c r="N10" s="138">
        <v>6</v>
      </c>
      <c r="O10" s="140">
        <v>288</v>
      </c>
      <c r="P10" s="140">
        <v>909</v>
      </c>
      <c r="Q10" s="138">
        <v>1</v>
      </c>
      <c r="R10" s="138" t="s">
        <v>214</v>
      </c>
      <c r="S10" s="138">
        <v>5064</v>
      </c>
      <c r="T10" s="119">
        <v>531</v>
      </c>
      <c r="U10" s="119" t="s">
        <v>237</v>
      </c>
      <c r="V10" s="86">
        <v>531</v>
      </c>
    </row>
    <row r="11" spans="1:22" ht="14.25" customHeight="1">
      <c r="A11" s="118" t="s">
        <v>275</v>
      </c>
      <c r="C11" s="137">
        <v>1</v>
      </c>
      <c r="D11" s="138" t="s">
        <v>215</v>
      </c>
      <c r="E11" s="139" t="s">
        <v>216</v>
      </c>
      <c r="F11" s="139" t="s">
        <v>217</v>
      </c>
      <c r="G11" s="139">
        <v>33</v>
      </c>
      <c r="H11" s="139">
        <v>3</v>
      </c>
      <c r="I11" s="140">
        <v>5</v>
      </c>
      <c r="J11" s="138" t="s">
        <v>220</v>
      </c>
      <c r="K11" s="138" t="s">
        <v>107</v>
      </c>
      <c r="L11" s="157" t="s">
        <v>212</v>
      </c>
      <c r="M11" s="141">
        <v>384</v>
      </c>
      <c r="N11" s="138">
        <v>6</v>
      </c>
      <c r="O11" s="140">
        <v>300</v>
      </c>
      <c r="P11" s="140">
        <v>908</v>
      </c>
      <c r="Q11" s="138">
        <v>7</v>
      </c>
      <c r="R11" s="138" t="s">
        <v>213</v>
      </c>
      <c r="S11" s="138">
        <v>5065</v>
      </c>
      <c r="T11" s="119">
        <v>532</v>
      </c>
      <c r="U11" s="119" t="s">
        <v>238</v>
      </c>
      <c r="V11" s="86">
        <v>532</v>
      </c>
    </row>
    <row r="12" spans="1:22" ht="14.25" customHeight="1">
      <c r="A12" s="118" t="s">
        <v>280</v>
      </c>
      <c r="C12" s="137">
        <v>1</v>
      </c>
      <c r="D12" s="138" t="s">
        <v>215</v>
      </c>
      <c r="E12" s="139" t="s">
        <v>216</v>
      </c>
      <c r="F12" s="139" t="s">
        <v>217</v>
      </c>
      <c r="G12" s="139">
        <v>34</v>
      </c>
      <c r="H12" s="139">
        <v>3</v>
      </c>
      <c r="I12" s="140">
        <v>5</v>
      </c>
      <c r="J12" s="138" t="s">
        <v>221</v>
      </c>
      <c r="K12" s="138" t="s">
        <v>107</v>
      </c>
      <c r="L12" s="157" t="s">
        <v>212</v>
      </c>
      <c r="M12" s="141">
        <v>384</v>
      </c>
      <c r="N12" s="138">
        <v>6</v>
      </c>
      <c r="O12" s="140">
        <v>288</v>
      </c>
      <c r="P12" s="140">
        <v>909</v>
      </c>
      <c r="Q12" s="138">
        <v>7</v>
      </c>
      <c r="R12" s="138" t="s">
        <v>214</v>
      </c>
      <c r="S12" s="157">
        <v>5065</v>
      </c>
      <c r="T12" s="119">
        <v>533</v>
      </c>
      <c r="U12" s="119" t="s">
        <v>239</v>
      </c>
      <c r="V12" s="86">
        <v>533</v>
      </c>
    </row>
    <row r="13" spans="1:22" ht="14.25" customHeight="1">
      <c r="A13" s="118" t="s">
        <v>283</v>
      </c>
      <c r="C13" s="137">
        <v>1</v>
      </c>
      <c r="D13" s="138" t="s">
        <v>215</v>
      </c>
      <c r="E13" s="139" t="s">
        <v>216</v>
      </c>
      <c r="F13" s="139" t="s">
        <v>217</v>
      </c>
      <c r="G13" s="139">
        <v>35</v>
      </c>
      <c r="H13" s="139">
        <v>3</v>
      </c>
      <c r="I13" s="140">
        <v>6</v>
      </c>
      <c r="J13" s="138" t="s">
        <v>222</v>
      </c>
      <c r="K13" s="138" t="s">
        <v>107</v>
      </c>
      <c r="L13" s="138" t="s">
        <v>212</v>
      </c>
      <c r="M13" s="141">
        <v>384</v>
      </c>
      <c r="N13" s="138">
        <v>6</v>
      </c>
      <c r="O13" s="140">
        <v>300</v>
      </c>
      <c r="P13" s="140">
        <v>908</v>
      </c>
      <c r="Q13" s="138">
        <v>13</v>
      </c>
      <c r="R13" s="138" t="s">
        <v>213</v>
      </c>
      <c r="S13" s="138">
        <v>5066</v>
      </c>
      <c r="T13" s="119">
        <v>534</v>
      </c>
      <c r="U13" s="119" t="s">
        <v>240</v>
      </c>
      <c r="V13" s="86">
        <v>534</v>
      </c>
    </row>
    <row r="14" spans="1:22" ht="14.25" customHeight="1">
      <c r="A14" s="118" t="s">
        <v>288</v>
      </c>
      <c r="C14" s="142">
        <v>1</v>
      </c>
      <c r="D14" s="122" t="s">
        <v>215</v>
      </c>
      <c r="E14" s="122" t="s">
        <v>216</v>
      </c>
      <c r="F14" s="122" t="s">
        <v>217</v>
      </c>
      <c r="G14" s="139">
        <v>36</v>
      </c>
      <c r="H14" s="122">
        <v>3</v>
      </c>
      <c r="I14" s="122">
        <v>6</v>
      </c>
      <c r="J14" s="122" t="s">
        <v>223</v>
      </c>
      <c r="K14" s="122" t="s">
        <v>107</v>
      </c>
      <c r="L14" s="122" t="s">
        <v>212</v>
      </c>
      <c r="M14" s="122">
        <v>384</v>
      </c>
      <c r="N14" s="122">
        <v>6</v>
      </c>
      <c r="O14" s="122">
        <v>288</v>
      </c>
      <c r="P14" s="122">
        <v>909</v>
      </c>
      <c r="Q14" s="122">
        <v>13</v>
      </c>
      <c r="R14" s="122" t="s">
        <v>214</v>
      </c>
      <c r="S14" s="157">
        <v>5066</v>
      </c>
      <c r="T14" s="122">
        <v>535</v>
      </c>
      <c r="U14" s="122" t="s">
        <v>241</v>
      </c>
      <c r="V14" s="123">
        <v>535</v>
      </c>
    </row>
    <row r="15" spans="1:22" ht="14.25" customHeight="1">
      <c r="A15" s="118" t="s">
        <v>291</v>
      </c>
      <c r="C15" s="142">
        <v>1</v>
      </c>
      <c r="D15" s="122" t="s">
        <v>215</v>
      </c>
      <c r="E15" s="122" t="s">
        <v>216</v>
      </c>
      <c r="F15" s="122" t="s">
        <v>217</v>
      </c>
      <c r="G15" s="139">
        <v>37</v>
      </c>
      <c r="H15" s="122">
        <v>4</v>
      </c>
      <c r="I15" s="122">
        <v>5</v>
      </c>
      <c r="J15" s="122" t="s">
        <v>224</v>
      </c>
      <c r="K15" s="122" t="s">
        <v>107</v>
      </c>
      <c r="L15" s="122" t="s">
        <v>212</v>
      </c>
      <c r="M15" s="122">
        <v>384</v>
      </c>
      <c r="N15" s="122">
        <v>6</v>
      </c>
      <c r="O15" s="122">
        <v>300</v>
      </c>
      <c r="P15" s="122">
        <v>908</v>
      </c>
      <c r="Q15" s="122">
        <v>19</v>
      </c>
      <c r="R15" s="122" t="s">
        <v>213</v>
      </c>
      <c r="S15" s="122">
        <v>5067</v>
      </c>
      <c r="T15" s="122">
        <v>536</v>
      </c>
      <c r="U15" s="122" t="s">
        <v>242</v>
      </c>
      <c r="V15" s="123">
        <v>536</v>
      </c>
    </row>
    <row r="16" spans="1:22" ht="14.25" customHeight="1">
      <c r="A16" s="118" t="s">
        <v>296</v>
      </c>
      <c r="C16" s="142">
        <v>1</v>
      </c>
      <c r="D16" s="122" t="s">
        <v>215</v>
      </c>
      <c r="E16" s="122" t="s">
        <v>216</v>
      </c>
      <c r="F16" s="122" t="s">
        <v>217</v>
      </c>
      <c r="G16" s="139">
        <v>38</v>
      </c>
      <c r="H16" s="122">
        <v>4</v>
      </c>
      <c r="I16" s="122">
        <v>5</v>
      </c>
      <c r="J16" s="122" t="s">
        <v>225</v>
      </c>
      <c r="K16" s="122" t="s">
        <v>107</v>
      </c>
      <c r="L16" s="122" t="s">
        <v>212</v>
      </c>
      <c r="M16" s="122">
        <v>384</v>
      </c>
      <c r="N16" s="122">
        <v>6</v>
      </c>
      <c r="O16" s="122">
        <v>288</v>
      </c>
      <c r="P16" s="122">
        <v>909</v>
      </c>
      <c r="Q16" s="122">
        <v>19</v>
      </c>
      <c r="R16" s="122" t="s">
        <v>214</v>
      </c>
      <c r="S16" s="163">
        <v>5067</v>
      </c>
      <c r="T16" s="122">
        <v>537</v>
      </c>
      <c r="U16" s="122" t="s">
        <v>243</v>
      </c>
      <c r="V16" s="123">
        <v>537</v>
      </c>
    </row>
    <row r="17" spans="1:22" ht="14.25" customHeight="1">
      <c r="A17" s="118" t="s">
        <v>299</v>
      </c>
      <c r="C17" s="142">
        <v>1</v>
      </c>
      <c r="D17" s="122" t="s">
        <v>215</v>
      </c>
      <c r="E17" s="122" t="s">
        <v>216</v>
      </c>
      <c r="F17" s="122" t="s">
        <v>217</v>
      </c>
      <c r="G17" s="139">
        <v>39</v>
      </c>
      <c r="H17" s="122">
        <v>4</v>
      </c>
      <c r="I17" s="122">
        <v>6</v>
      </c>
      <c r="J17" s="122" t="s">
        <v>226</v>
      </c>
      <c r="K17" s="122" t="s">
        <v>107</v>
      </c>
      <c r="L17" s="122" t="s">
        <v>212</v>
      </c>
      <c r="M17" s="122">
        <v>384</v>
      </c>
      <c r="N17" s="122">
        <v>6</v>
      </c>
      <c r="O17" s="122">
        <v>300</v>
      </c>
      <c r="P17" s="122">
        <v>908</v>
      </c>
      <c r="Q17" s="122">
        <v>25</v>
      </c>
      <c r="R17" s="122" t="s">
        <v>213</v>
      </c>
      <c r="S17" s="122">
        <v>5068</v>
      </c>
      <c r="T17" s="122">
        <v>538</v>
      </c>
      <c r="U17" s="122" t="s">
        <v>244</v>
      </c>
      <c r="V17" s="123">
        <v>538</v>
      </c>
    </row>
    <row r="18" spans="1:22" ht="14.25" customHeight="1">
      <c r="A18" s="118" t="s">
        <v>304</v>
      </c>
      <c r="C18" s="142">
        <v>1</v>
      </c>
      <c r="D18" s="122" t="s">
        <v>215</v>
      </c>
      <c r="E18" s="122" t="s">
        <v>216</v>
      </c>
      <c r="F18" s="122" t="s">
        <v>217</v>
      </c>
      <c r="G18" s="139">
        <v>40</v>
      </c>
      <c r="H18" s="122">
        <v>4</v>
      </c>
      <c r="I18" s="122">
        <v>6</v>
      </c>
      <c r="J18" s="122" t="s">
        <v>227</v>
      </c>
      <c r="K18" s="122" t="s">
        <v>107</v>
      </c>
      <c r="L18" s="122" t="s">
        <v>212</v>
      </c>
      <c r="M18" s="122">
        <v>384</v>
      </c>
      <c r="N18" s="122">
        <v>6</v>
      </c>
      <c r="O18" s="122">
        <v>288</v>
      </c>
      <c r="P18" s="122">
        <v>909</v>
      </c>
      <c r="Q18" s="122">
        <v>25</v>
      </c>
      <c r="R18" s="122" t="s">
        <v>214</v>
      </c>
      <c r="S18" s="163">
        <v>5068</v>
      </c>
      <c r="T18" s="122">
        <v>539</v>
      </c>
      <c r="U18" s="122" t="s">
        <v>245</v>
      </c>
      <c r="V18" s="123">
        <v>539</v>
      </c>
    </row>
    <row r="19" spans="1:22" ht="14.25" customHeight="1">
      <c r="A19" s="118" t="s">
        <v>307</v>
      </c>
      <c r="C19" s="142">
        <v>1</v>
      </c>
      <c r="D19" s="122" t="s">
        <v>215</v>
      </c>
      <c r="E19" s="122" t="s">
        <v>216</v>
      </c>
      <c r="F19" s="122" t="s">
        <v>217</v>
      </c>
      <c r="G19" s="139">
        <v>41</v>
      </c>
      <c r="H19" s="122">
        <v>5</v>
      </c>
      <c r="I19" s="122">
        <v>5</v>
      </c>
      <c r="J19" s="122" t="s">
        <v>228</v>
      </c>
      <c r="K19" s="122" t="s">
        <v>107</v>
      </c>
      <c r="L19" s="122" t="s">
        <v>212</v>
      </c>
      <c r="M19" s="122">
        <v>384</v>
      </c>
      <c r="N19" s="122">
        <v>6</v>
      </c>
      <c r="O19" s="122">
        <v>292</v>
      </c>
      <c r="P19" s="122">
        <v>910</v>
      </c>
      <c r="Q19" s="122">
        <v>1</v>
      </c>
      <c r="R19" s="122" t="s">
        <v>213</v>
      </c>
      <c r="S19" s="122">
        <v>5069</v>
      </c>
      <c r="T19" s="122">
        <v>540</v>
      </c>
      <c r="U19" s="122" t="s">
        <v>246</v>
      </c>
      <c r="V19" s="123">
        <v>540</v>
      </c>
    </row>
    <row r="20" spans="1:22" ht="14.25" customHeight="1">
      <c r="A20" s="118" t="s">
        <v>312</v>
      </c>
      <c r="C20" s="142">
        <v>1</v>
      </c>
      <c r="D20" s="122" t="s">
        <v>215</v>
      </c>
      <c r="E20" s="122" t="s">
        <v>216</v>
      </c>
      <c r="F20" s="122" t="s">
        <v>217</v>
      </c>
      <c r="G20" s="139">
        <v>42</v>
      </c>
      <c r="H20" s="122">
        <v>5</v>
      </c>
      <c r="I20" s="122">
        <v>5</v>
      </c>
      <c r="J20" s="122" t="s">
        <v>229</v>
      </c>
      <c r="K20" s="122" t="s">
        <v>107</v>
      </c>
      <c r="L20" s="122" t="s">
        <v>212</v>
      </c>
      <c r="M20" s="122">
        <v>384</v>
      </c>
      <c r="N20" s="122">
        <v>6</v>
      </c>
      <c r="O20" s="122">
        <v>296</v>
      </c>
      <c r="P20" s="122">
        <v>911</v>
      </c>
      <c r="Q20" s="122">
        <v>1</v>
      </c>
      <c r="R20" s="122" t="s">
        <v>214</v>
      </c>
      <c r="S20" s="163">
        <v>5069</v>
      </c>
      <c r="T20" s="122">
        <v>541</v>
      </c>
      <c r="U20" s="122" t="s">
        <v>247</v>
      </c>
      <c r="V20" s="123">
        <v>541</v>
      </c>
    </row>
    <row r="21" spans="1:22" ht="14.25" customHeight="1">
      <c r="A21" s="118" t="s">
        <v>315</v>
      </c>
      <c r="C21" s="142">
        <v>1</v>
      </c>
      <c r="D21" s="122" t="s">
        <v>215</v>
      </c>
      <c r="E21" s="122" t="s">
        <v>216</v>
      </c>
      <c r="F21" s="122" t="s">
        <v>217</v>
      </c>
      <c r="G21" s="139">
        <v>43</v>
      </c>
      <c r="H21" s="122">
        <v>5</v>
      </c>
      <c r="I21" s="122">
        <v>6</v>
      </c>
      <c r="J21" s="122" t="s">
        <v>230</v>
      </c>
      <c r="K21" s="122" t="s">
        <v>107</v>
      </c>
      <c r="L21" s="122" t="s">
        <v>212</v>
      </c>
      <c r="M21" s="122">
        <v>384</v>
      </c>
      <c r="N21" s="122">
        <v>6</v>
      </c>
      <c r="O21" s="122">
        <v>292</v>
      </c>
      <c r="P21" s="122">
        <v>910</v>
      </c>
      <c r="Q21" s="122">
        <v>7</v>
      </c>
      <c r="R21" s="122" t="s">
        <v>213</v>
      </c>
      <c r="S21" s="122">
        <v>5070</v>
      </c>
      <c r="T21" s="122">
        <v>542</v>
      </c>
      <c r="U21" s="122" t="s">
        <v>248</v>
      </c>
      <c r="V21" s="123">
        <v>542</v>
      </c>
    </row>
    <row r="22" spans="1:22" ht="14.25" customHeight="1">
      <c r="A22" s="118" t="s">
        <v>320</v>
      </c>
      <c r="C22" s="142">
        <v>1</v>
      </c>
      <c r="D22" s="122" t="s">
        <v>215</v>
      </c>
      <c r="E22" s="122" t="s">
        <v>216</v>
      </c>
      <c r="F22" s="122" t="s">
        <v>217</v>
      </c>
      <c r="G22" s="139">
        <v>44</v>
      </c>
      <c r="H22" s="122">
        <v>5</v>
      </c>
      <c r="I22" s="122">
        <v>6</v>
      </c>
      <c r="J22" s="122" t="s">
        <v>231</v>
      </c>
      <c r="K22" s="122" t="s">
        <v>107</v>
      </c>
      <c r="L22" s="122" t="s">
        <v>212</v>
      </c>
      <c r="M22" s="122">
        <v>384</v>
      </c>
      <c r="N22" s="122">
        <v>6</v>
      </c>
      <c r="O22" s="122">
        <v>296</v>
      </c>
      <c r="P22" s="122">
        <v>911</v>
      </c>
      <c r="Q22" s="122">
        <v>7</v>
      </c>
      <c r="R22" s="122" t="s">
        <v>214</v>
      </c>
      <c r="S22" s="163">
        <v>5070</v>
      </c>
      <c r="T22" s="122">
        <v>543</v>
      </c>
      <c r="U22" s="122" t="s">
        <v>249</v>
      </c>
      <c r="V22" s="123">
        <v>543</v>
      </c>
    </row>
    <row r="23" spans="1:22" ht="14.25" customHeight="1">
      <c r="A23" s="118" t="s">
        <v>323</v>
      </c>
      <c r="C23" s="142">
        <v>1</v>
      </c>
      <c r="D23" s="122" t="s">
        <v>215</v>
      </c>
      <c r="E23" s="122" t="s">
        <v>216</v>
      </c>
      <c r="F23" s="122" t="s">
        <v>217</v>
      </c>
      <c r="G23" s="139">
        <v>45</v>
      </c>
      <c r="H23" s="122">
        <v>6</v>
      </c>
      <c r="I23" s="122">
        <v>5</v>
      </c>
      <c r="J23" s="122" t="s">
        <v>232</v>
      </c>
      <c r="K23" s="122" t="s">
        <v>107</v>
      </c>
      <c r="L23" s="122" t="s">
        <v>212</v>
      </c>
      <c r="M23" s="122">
        <v>384</v>
      </c>
      <c r="N23" s="122">
        <v>6</v>
      </c>
      <c r="O23" s="122">
        <v>292</v>
      </c>
      <c r="P23" s="122">
        <v>910</v>
      </c>
      <c r="Q23" s="122">
        <v>13</v>
      </c>
      <c r="R23" s="122" t="s">
        <v>213</v>
      </c>
      <c r="S23" s="122">
        <v>5071</v>
      </c>
      <c r="T23" s="122">
        <v>544</v>
      </c>
      <c r="U23" s="122" t="s">
        <v>250</v>
      </c>
      <c r="V23" s="123">
        <v>544</v>
      </c>
    </row>
    <row r="24" spans="1:22" ht="14.25" customHeight="1">
      <c r="A24" s="118" t="s">
        <v>328</v>
      </c>
      <c r="C24" s="142">
        <v>1</v>
      </c>
      <c r="D24" s="122" t="s">
        <v>215</v>
      </c>
      <c r="E24" s="122" t="s">
        <v>216</v>
      </c>
      <c r="F24" s="122" t="s">
        <v>217</v>
      </c>
      <c r="G24" s="139">
        <v>46</v>
      </c>
      <c r="H24" s="122">
        <v>6</v>
      </c>
      <c r="I24" s="122">
        <v>5</v>
      </c>
      <c r="J24" s="122" t="s">
        <v>233</v>
      </c>
      <c r="K24" s="122" t="s">
        <v>107</v>
      </c>
      <c r="L24" s="122" t="s">
        <v>212</v>
      </c>
      <c r="M24" s="122">
        <v>384</v>
      </c>
      <c r="N24" s="122">
        <v>6</v>
      </c>
      <c r="O24" s="122">
        <v>296</v>
      </c>
      <c r="P24" s="122">
        <v>911</v>
      </c>
      <c r="Q24" s="122">
        <v>13</v>
      </c>
      <c r="R24" s="122" t="s">
        <v>214</v>
      </c>
      <c r="S24" s="163">
        <v>5071</v>
      </c>
      <c r="T24" s="122">
        <v>545</v>
      </c>
      <c r="U24" s="122" t="s">
        <v>251</v>
      </c>
      <c r="V24" s="123">
        <v>545</v>
      </c>
    </row>
    <row r="25" spans="1:22" ht="14.25" customHeight="1">
      <c r="C25" s="142">
        <v>1</v>
      </c>
      <c r="D25" s="122" t="s">
        <v>215</v>
      </c>
      <c r="E25" s="122" t="s">
        <v>216</v>
      </c>
      <c r="F25" s="122" t="s">
        <v>217</v>
      </c>
      <c r="G25" s="139">
        <v>47</v>
      </c>
      <c r="H25" s="122">
        <v>6</v>
      </c>
      <c r="I25" s="122">
        <v>6</v>
      </c>
      <c r="J25" s="122" t="s">
        <v>234</v>
      </c>
      <c r="K25" s="122" t="s">
        <v>107</v>
      </c>
      <c r="L25" s="122" t="s">
        <v>212</v>
      </c>
      <c r="M25" s="122">
        <v>384</v>
      </c>
      <c r="N25" s="122">
        <v>6</v>
      </c>
      <c r="O25" s="122">
        <v>292</v>
      </c>
      <c r="P25" s="122">
        <v>910</v>
      </c>
      <c r="Q25" s="122">
        <v>19</v>
      </c>
      <c r="R25" s="122" t="s">
        <v>213</v>
      </c>
      <c r="S25" s="122">
        <v>5072</v>
      </c>
      <c r="T25" s="122">
        <v>546</v>
      </c>
      <c r="U25" s="122" t="s">
        <v>252</v>
      </c>
      <c r="V25" s="123">
        <v>546</v>
      </c>
    </row>
    <row r="26" spans="1:22" ht="14.25" customHeight="1">
      <c r="A26" s="118" t="s">
        <v>255</v>
      </c>
      <c r="C26" s="142">
        <v>1</v>
      </c>
      <c r="D26" s="122" t="s">
        <v>215</v>
      </c>
      <c r="E26" s="122" t="s">
        <v>216</v>
      </c>
      <c r="F26" s="122" t="s">
        <v>217</v>
      </c>
      <c r="G26" s="139">
        <v>48</v>
      </c>
      <c r="H26" s="122">
        <v>6</v>
      </c>
      <c r="I26" s="122">
        <v>6</v>
      </c>
      <c r="J26" s="122" t="s">
        <v>235</v>
      </c>
      <c r="K26" s="122" t="s">
        <v>107</v>
      </c>
      <c r="L26" s="122" t="s">
        <v>212</v>
      </c>
      <c r="M26" s="122">
        <v>384</v>
      </c>
      <c r="N26" s="122">
        <v>6</v>
      </c>
      <c r="O26" s="122">
        <v>296</v>
      </c>
      <c r="P26" s="122">
        <v>911</v>
      </c>
      <c r="Q26" s="122">
        <v>19</v>
      </c>
      <c r="R26" s="122" t="s">
        <v>214</v>
      </c>
      <c r="S26" s="163">
        <v>5072</v>
      </c>
      <c r="T26" s="122">
        <v>547</v>
      </c>
      <c r="U26" s="122" t="s">
        <v>253</v>
      </c>
      <c r="V26" s="123">
        <v>547</v>
      </c>
    </row>
    <row r="27" spans="1:22" ht="14.25" customHeight="1">
      <c r="A27" s="118" t="s">
        <v>260</v>
      </c>
      <c r="C27" s="142"/>
      <c r="D27" s="122"/>
      <c r="E27" s="122"/>
      <c r="F27" s="122"/>
      <c r="G27" s="139"/>
      <c r="H27" s="122"/>
      <c r="I27" s="122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3"/>
    </row>
    <row r="28" spans="1:22" ht="14.25" customHeight="1">
      <c r="A28" s="129" t="s">
        <v>265</v>
      </c>
      <c r="C28" s="142"/>
      <c r="D28" s="122"/>
      <c r="E28" s="122"/>
      <c r="F28" s="122"/>
      <c r="G28" s="139"/>
      <c r="H28" s="122"/>
      <c r="I28" s="122"/>
      <c r="J28" s="122"/>
      <c r="K28" s="122"/>
      <c r="L28" s="122"/>
      <c r="M28" s="122"/>
      <c r="N28" s="122"/>
      <c r="O28" s="122"/>
      <c r="P28" s="122"/>
      <c r="Q28" s="122"/>
      <c r="R28" s="122"/>
      <c r="S28" s="122"/>
      <c r="T28" s="122"/>
      <c r="U28" s="122"/>
      <c r="V28" s="123"/>
    </row>
    <row r="29" spans="1:22" ht="14.25" customHeight="1">
      <c r="A29" s="118" t="s">
        <v>268</v>
      </c>
      <c r="C29" s="142"/>
      <c r="D29" s="122"/>
      <c r="E29" s="122"/>
      <c r="F29" s="122"/>
      <c r="G29" s="139"/>
      <c r="H29" s="122"/>
      <c r="I29" s="122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3"/>
    </row>
    <row r="30" spans="1:22" ht="14.25" customHeight="1">
      <c r="A30" s="118" t="s">
        <v>273</v>
      </c>
      <c r="C30" s="142"/>
      <c r="D30" s="122"/>
      <c r="E30" s="122"/>
      <c r="F30" s="122"/>
      <c r="G30" s="139"/>
      <c r="H30" s="122"/>
      <c r="I30" s="122"/>
      <c r="J30" s="122"/>
      <c r="K30" s="122"/>
      <c r="L30" s="122"/>
      <c r="M30" s="122"/>
      <c r="N30" s="122"/>
      <c r="O30" s="122"/>
      <c r="P30" s="122"/>
      <c r="Q30" s="122"/>
      <c r="R30" s="122"/>
      <c r="S30" s="122"/>
      <c r="T30" s="122"/>
      <c r="U30" s="122"/>
      <c r="V30" s="123"/>
    </row>
    <row r="31" spans="1:22" ht="14.25" customHeight="1">
      <c r="A31" s="118" t="s">
        <v>276</v>
      </c>
      <c r="C31" s="142"/>
      <c r="D31" s="122"/>
      <c r="E31" s="122"/>
      <c r="F31" s="122"/>
      <c r="G31" s="139"/>
      <c r="H31" s="122"/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</row>
    <row r="32" spans="1:22" ht="14.25" customHeight="1">
      <c r="A32" s="118" t="s">
        <v>281</v>
      </c>
      <c r="C32" s="142"/>
      <c r="D32" s="122"/>
      <c r="E32" s="122"/>
      <c r="F32" s="122"/>
      <c r="G32" s="139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122"/>
      <c r="U32" s="122"/>
      <c r="V32" s="123"/>
    </row>
    <row r="33" spans="1:22" ht="14.25" customHeight="1">
      <c r="A33" s="118" t="s">
        <v>284</v>
      </c>
      <c r="C33" s="142"/>
      <c r="D33" s="122"/>
      <c r="E33" s="122"/>
      <c r="F33" s="122"/>
      <c r="G33" s="139"/>
      <c r="H33" s="122"/>
      <c r="I33" s="122"/>
      <c r="J33" s="122"/>
      <c r="K33" s="122"/>
      <c r="L33" s="122"/>
      <c r="M33" s="122"/>
      <c r="N33" s="122"/>
      <c r="O33" s="122"/>
      <c r="P33" s="122"/>
      <c r="Q33" s="122"/>
      <c r="R33" s="122"/>
      <c r="S33" s="122"/>
      <c r="T33" s="122"/>
      <c r="U33" s="122"/>
      <c r="V33" s="123"/>
    </row>
    <row r="34" spans="1:22" ht="14.25" customHeight="1">
      <c r="A34" s="118" t="s">
        <v>289</v>
      </c>
      <c r="C34" s="143"/>
      <c r="D34" s="144"/>
      <c r="E34" s="145"/>
      <c r="F34" s="145"/>
      <c r="G34" s="139"/>
      <c r="H34" s="145"/>
      <c r="I34" s="144"/>
      <c r="J34" s="144"/>
      <c r="K34" s="144"/>
      <c r="L34" s="144"/>
      <c r="M34" s="144"/>
      <c r="N34" s="146"/>
      <c r="O34" s="144"/>
      <c r="P34" s="146"/>
      <c r="Q34" s="146"/>
      <c r="R34" s="146"/>
      <c r="S34" s="144"/>
      <c r="T34" s="144"/>
      <c r="U34" s="144"/>
      <c r="V34" s="147"/>
    </row>
    <row r="35" spans="1:22" ht="14.25" customHeight="1">
      <c r="A35" s="118" t="s">
        <v>292</v>
      </c>
      <c r="C35" s="143"/>
      <c r="D35" s="144"/>
      <c r="E35" s="145"/>
      <c r="F35" s="145"/>
      <c r="G35" s="139"/>
      <c r="H35" s="145"/>
      <c r="I35" s="144"/>
      <c r="J35" s="144"/>
      <c r="K35" s="144"/>
      <c r="L35" s="144"/>
      <c r="M35" s="144"/>
      <c r="N35" s="146"/>
      <c r="O35" s="144"/>
      <c r="P35" s="146"/>
      <c r="Q35" s="146"/>
      <c r="R35" s="146"/>
      <c r="S35" s="144"/>
      <c r="T35" s="144"/>
      <c r="U35" s="144"/>
      <c r="V35" s="147"/>
    </row>
    <row r="36" spans="1:22" ht="14.25" customHeight="1">
      <c r="A36" s="118" t="s">
        <v>297</v>
      </c>
      <c r="C36" s="143"/>
      <c r="D36" s="144"/>
      <c r="E36" s="145"/>
      <c r="F36" s="145"/>
      <c r="G36" s="139"/>
      <c r="H36" s="145"/>
      <c r="I36" s="144"/>
      <c r="J36" s="144"/>
      <c r="K36" s="144"/>
      <c r="L36" s="144"/>
      <c r="M36" s="144"/>
      <c r="N36" s="146"/>
      <c r="O36" s="144"/>
      <c r="P36" s="146"/>
      <c r="Q36" s="146"/>
      <c r="R36" s="146"/>
      <c r="S36" s="144"/>
      <c r="T36" s="144"/>
      <c r="U36" s="144"/>
      <c r="V36" s="147"/>
    </row>
    <row r="37" spans="1:22" ht="14.25" customHeight="1">
      <c r="A37" s="118" t="s">
        <v>300</v>
      </c>
      <c r="C37" s="143"/>
      <c r="D37" s="144"/>
      <c r="E37" s="145"/>
      <c r="F37" s="145"/>
      <c r="G37" s="139"/>
      <c r="H37" s="145"/>
      <c r="I37" s="144"/>
      <c r="J37" s="144"/>
      <c r="K37" s="144"/>
      <c r="L37" s="144"/>
      <c r="M37" s="144"/>
      <c r="N37" s="146"/>
      <c r="O37" s="144"/>
      <c r="P37" s="146"/>
      <c r="Q37" s="146"/>
      <c r="R37" s="146"/>
      <c r="S37" s="144"/>
      <c r="T37" s="144"/>
      <c r="U37" s="144"/>
      <c r="V37" s="147"/>
    </row>
    <row r="38" spans="1:22" ht="14.25" customHeight="1">
      <c r="A38" s="118" t="s">
        <v>305</v>
      </c>
      <c r="C38" s="143"/>
      <c r="D38" s="144"/>
      <c r="E38" s="145"/>
      <c r="F38" s="145"/>
      <c r="G38" s="139"/>
      <c r="H38" s="145"/>
      <c r="I38" s="144"/>
      <c r="J38" s="144"/>
      <c r="K38" s="144"/>
      <c r="L38" s="144"/>
      <c r="M38" s="144"/>
      <c r="N38" s="146"/>
      <c r="O38" s="144"/>
      <c r="P38" s="146"/>
      <c r="Q38" s="146"/>
      <c r="R38" s="146"/>
      <c r="S38" s="144"/>
      <c r="T38" s="144"/>
      <c r="U38" s="144"/>
      <c r="V38" s="147"/>
    </row>
    <row r="39" spans="1:22" ht="14.25" customHeight="1">
      <c r="A39" s="118" t="s">
        <v>308</v>
      </c>
      <c r="C39" s="143"/>
      <c r="D39" s="144"/>
      <c r="E39" s="145"/>
      <c r="F39" s="145"/>
      <c r="G39" s="139"/>
      <c r="H39" s="145"/>
      <c r="I39" s="144"/>
      <c r="J39" s="144"/>
      <c r="K39" s="144"/>
      <c r="L39" s="144"/>
      <c r="M39" s="144"/>
      <c r="N39" s="146"/>
      <c r="O39" s="144"/>
      <c r="P39" s="146"/>
      <c r="Q39" s="146"/>
      <c r="R39" s="146"/>
      <c r="S39" s="144"/>
      <c r="T39" s="144"/>
      <c r="U39" s="144"/>
      <c r="V39" s="147"/>
    </row>
    <row r="40" spans="1:22" ht="14.25" customHeight="1">
      <c r="A40" s="118" t="s">
        <v>313</v>
      </c>
      <c r="C40" s="143"/>
      <c r="D40" s="144"/>
      <c r="E40" s="145"/>
      <c r="F40" s="145"/>
      <c r="G40" s="139"/>
      <c r="H40" s="145"/>
      <c r="I40" s="144"/>
      <c r="J40" s="144"/>
      <c r="K40" s="144"/>
      <c r="L40" s="144"/>
      <c r="M40" s="144"/>
      <c r="N40" s="146"/>
      <c r="O40" s="144"/>
      <c r="P40" s="146"/>
      <c r="Q40" s="146"/>
      <c r="R40" s="146"/>
      <c r="S40" s="144"/>
      <c r="T40" s="144"/>
      <c r="U40" s="144"/>
      <c r="V40" s="147"/>
    </row>
    <row r="41" spans="1:22" ht="14.25" customHeight="1">
      <c r="A41" s="118" t="s">
        <v>316</v>
      </c>
      <c r="C41" s="143"/>
      <c r="D41" s="144"/>
      <c r="E41" s="145"/>
      <c r="F41" s="145"/>
      <c r="G41" s="139"/>
      <c r="H41" s="145"/>
      <c r="I41" s="144"/>
      <c r="J41" s="144"/>
      <c r="K41" s="144"/>
      <c r="L41" s="144"/>
      <c r="M41" s="144"/>
      <c r="N41" s="146"/>
      <c r="O41" s="144"/>
      <c r="P41" s="146"/>
      <c r="Q41" s="146"/>
      <c r="R41" s="146"/>
      <c r="S41" s="144"/>
      <c r="T41" s="144"/>
      <c r="U41" s="144"/>
      <c r="V41" s="147"/>
    </row>
    <row r="42" spans="1:22" ht="14.25" customHeight="1">
      <c r="A42" s="118" t="s">
        <v>321</v>
      </c>
      <c r="C42" s="143"/>
      <c r="D42" s="144"/>
      <c r="E42" s="144"/>
      <c r="F42" s="144"/>
      <c r="G42" s="139"/>
      <c r="H42" s="144"/>
      <c r="I42" s="144"/>
      <c r="J42" s="144"/>
      <c r="K42" s="144"/>
      <c r="L42" s="144"/>
      <c r="M42" s="144"/>
      <c r="N42" s="146"/>
      <c r="O42" s="144"/>
      <c r="P42" s="144"/>
      <c r="Q42" s="144"/>
      <c r="R42" s="146"/>
      <c r="S42" s="144"/>
      <c r="T42" s="144"/>
      <c r="U42" s="144"/>
      <c r="V42" s="147"/>
    </row>
    <row r="43" spans="1:22" ht="14.25" customHeight="1">
      <c r="A43" s="118" t="s">
        <v>324</v>
      </c>
      <c r="C43" s="143"/>
      <c r="D43" s="144"/>
      <c r="E43" s="144"/>
      <c r="F43" s="144"/>
      <c r="G43" s="139"/>
      <c r="H43" s="144"/>
      <c r="I43" s="144"/>
      <c r="J43" s="144"/>
      <c r="K43" s="144"/>
      <c r="L43" s="144"/>
      <c r="M43" s="144"/>
      <c r="N43" s="146"/>
      <c r="O43" s="144"/>
      <c r="P43" s="144"/>
      <c r="Q43" s="144"/>
      <c r="R43" s="146"/>
      <c r="S43" s="144"/>
      <c r="T43" s="144"/>
      <c r="U43" s="144"/>
      <c r="V43" s="147"/>
    </row>
    <row r="44" spans="1:22" ht="14.25" customHeight="1">
      <c r="A44" s="118" t="s">
        <v>329</v>
      </c>
      <c r="C44" s="143"/>
      <c r="D44" s="144"/>
      <c r="E44" s="145"/>
      <c r="F44" s="145"/>
      <c r="G44" s="139"/>
      <c r="H44" s="145"/>
      <c r="I44" s="144"/>
      <c r="J44" s="144"/>
      <c r="K44" s="144"/>
      <c r="L44" s="144"/>
      <c r="M44" s="144"/>
      <c r="N44" s="146"/>
      <c r="O44" s="144"/>
      <c r="P44" s="146"/>
      <c r="Q44" s="146"/>
      <c r="R44" s="146"/>
      <c r="S44" s="144"/>
      <c r="T44" s="144"/>
      <c r="U44" s="144"/>
      <c r="V44" s="147"/>
    </row>
    <row r="45" spans="1:22" ht="14.25" customHeight="1">
      <c r="C45" s="143"/>
      <c r="D45" s="144"/>
      <c r="E45" s="145"/>
      <c r="F45" s="145"/>
      <c r="G45" s="139"/>
      <c r="H45" s="145"/>
      <c r="I45" s="144"/>
      <c r="J45" s="144"/>
      <c r="K45" s="144"/>
      <c r="L45" s="144"/>
      <c r="M45" s="144"/>
      <c r="N45" s="146"/>
      <c r="O45" s="144"/>
      <c r="P45" s="146"/>
      <c r="Q45" s="146"/>
      <c r="R45" s="146"/>
      <c r="S45" s="144"/>
      <c r="T45" s="144"/>
      <c r="U45" s="144"/>
      <c r="V45" s="147"/>
    </row>
    <row r="46" spans="1:22" ht="14.25" customHeight="1">
      <c r="A46" s="118" t="s">
        <v>256</v>
      </c>
      <c r="C46" s="143"/>
      <c r="D46" s="144"/>
      <c r="E46" s="145"/>
      <c r="F46" s="145"/>
      <c r="G46" s="139"/>
      <c r="H46" s="145"/>
      <c r="I46" s="144"/>
      <c r="J46" s="144"/>
      <c r="K46" s="144"/>
      <c r="L46" s="144"/>
      <c r="M46" s="144"/>
      <c r="N46" s="146"/>
      <c r="O46" s="144"/>
      <c r="P46" s="146"/>
      <c r="Q46" s="146"/>
      <c r="R46" s="146"/>
      <c r="S46" s="144"/>
      <c r="T46" s="144"/>
      <c r="U46" s="144"/>
      <c r="V46" s="147"/>
    </row>
    <row r="47" spans="1:22" ht="14.25" customHeight="1">
      <c r="A47" s="118" t="s">
        <v>261</v>
      </c>
      <c r="C47" s="143"/>
      <c r="D47" s="144"/>
      <c r="E47" s="145"/>
      <c r="F47" s="145"/>
      <c r="G47" s="139"/>
      <c r="H47" s="145"/>
      <c r="I47" s="144"/>
      <c r="J47" s="144"/>
      <c r="K47" s="144"/>
      <c r="L47" s="144"/>
      <c r="M47" s="144"/>
      <c r="N47" s="146"/>
      <c r="O47" s="144"/>
      <c r="P47" s="146"/>
      <c r="Q47" s="146"/>
      <c r="R47" s="146"/>
      <c r="S47" s="144"/>
      <c r="T47" s="144"/>
      <c r="U47" s="144"/>
      <c r="V47" s="147"/>
    </row>
    <row r="48" spans="1:22" ht="14.25" customHeight="1">
      <c r="A48" s="118" t="s">
        <v>266</v>
      </c>
      <c r="C48" s="143"/>
      <c r="D48" s="144"/>
      <c r="E48" s="145"/>
      <c r="F48" s="145"/>
      <c r="G48" s="139"/>
      <c r="H48" s="145"/>
      <c r="I48" s="144"/>
      <c r="J48" s="144"/>
      <c r="K48" s="144"/>
      <c r="L48" s="144"/>
      <c r="M48" s="144"/>
      <c r="N48" s="146"/>
      <c r="O48" s="144"/>
      <c r="P48" s="146"/>
      <c r="Q48" s="146"/>
      <c r="R48" s="146"/>
      <c r="S48" s="144"/>
      <c r="T48" s="144"/>
      <c r="U48" s="144"/>
      <c r="V48" s="147"/>
    </row>
    <row r="49" spans="1:22" ht="14.25" customHeight="1">
      <c r="A49" s="118" t="s">
        <v>269</v>
      </c>
      <c r="C49" s="143"/>
      <c r="D49" s="144"/>
      <c r="E49" s="145"/>
      <c r="F49" s="145"/>
      <c r="G49" s="139"/>
      <c r="H49" s="145"/>
      <c r="I49" s="144"/>
      <c r="J49" s="144"/>
      <c r="K49" s="144"/>
      <c r="L49" s="144"/>
      <c r="M49" s="144"/>
      <c r="N49" s="146"/>
      <c r="O49" s="144"/>
      <c r="P49" s="146"/>
      <c r="Q49" s="146"/>
      <c r="R49" s="146"/>
      <c r="S49" s="144"/>
      <c r="T49" s="144"/>
      <c r="U49" s="144"/>
      <c r="V49" s="147"/>
    </row>
    <row r="50" spans="1:22" ht="14.25" customHeight="1">
      <c r="A50" s="129" t="s">
        <v>274</v>
      </c>
      <c r="C50" s="143"/>
      <c r="D50" s="144"/>
      <c r="E50" s="145"/>
      <c r="F50" s="145"/>
      <c r="G50" s="139"/>
      <c r="H50" s="145"/>
      <c r="I50" s="144"/>
      <c r="J50" s="144"/>
      <c r="K50" s="144"/>
      <c r="L50" s="144"/>
      <c r="M50" s="144"/>
      <c r="N50" s="146"/>
      <c r="O50" s="144"/>
      <c r="P50" s="146"/>
      <c r="Q50" s="146"/>
      <c r="R50" s="146"/>
      <c r="S50" s="144"/>
      <c r="T50" s="144"/>
      <c r="U50" s="144"/>
      <c r="V50" s="147"/>
    </row>
    <row r="51" spans="1:22" ht="14.25" customHeight="1">
      <c r="A51" s="118" t="s">
        <v>277</v>
      </c>
      <c r="C51" s="143"/>
      <c r="D51" s="144"/>
      <c r="E51" s="145"/>
      <c r="F51" s="145"/>
      <c r="G51" s="139"/>
      <c r="H51" s="145"/>
      <c r="I51" s="144"/>
      <c r="J51" s="144"/>
      <c r="K51" s="144"/>
      <c r="L51" s="144"/>
      <c r="M51" s="144"/>
      <c r="N51" s="146"/>
      <c r="O51" s="144"/>
      <c r="P51" s="146"/>
      <c r="Q51" s="146"/>
      <c r="R51" s="146"/>
      <c r="S51" s="144"/>
      <c r="T51" s="144"/>
      <c r="U51" s="144"/>
      <c r="V51" s="147"/>
    </row>
    <row r="52" spans="1:22" ht="14.25" customHeight="1">
      <c r="A52" s="118" t="s">
        <v>282</v>
      </c>
      <c r="C52" s="143"/>
      <c r="D52" s="144"/>
      <c r="E52" s="144"/>
      <c r="F52" s="144"/>
      <c r="G52" s="139"/>
      <c r="H52" s="144"/>
      <c r="I52" s="144"/>
      <c r="J52" s="144"/>
      <c r="K52" s="144"/>
      <c r="L52" s="144"/>
      <c r="M52" s="144"/>
      <c r="N52" s="146"/>
      <c r="O52" s="144"/>
      <c r="P52" s="144"/>
      <c r="Q52" s="144"/>
      <c r="R52" s="146"/>
      <c r="S52" s="144"/>
      <c r="T52" s="144"/>
      <c r="U52" s="144"/>
      <c r="V52" s="147"/>
    </row>
    <row r="53" spans="1:22" ht="14.25" customHeight="1">
      <c r="A53" s="118" t="s">
        <v>285</v>
      </c>
      <c r="C53" s="143"/>
      <c r="D53" s="144"/>
      <c r="E53" s="144"/>
      <c r="F53" s="144"/>
      <c r="G53" s="139"/>
      <c r="H53" s="144"/>
      <c r="I53" s="144"/>
      <c r="J53" s="144"/>
      <c r="K53" s="144"/>
      <c r="L53" s="144"/>
      <c r="M53" s="144"/>
      <c r="N53" s="146"/>
      <c r="O53" s="144"/>
      <c r="P53" s="144"/>
      <c r="Q53" s="144"/>
      <c r="R53" s="146"/>
      <c r="S53" s="144"/>
      <c r="T53" s="144"/>
      <c r="U53" s="144"/>
      <c r="V53" s="147"/>
    </row>
    <row r="54" spans="1:22" ht="14.25" customHeight="1">
      <c r="A54" s="118" t="s">
        <v>290</v>
      </c>
      <c r="C54" s="143"/>
      <c r="D54" s="144"/>
      <c r="E54" s="144"/>
      <c r="F54" s="144"/>
      <c r="G54" s="139"/>
      <c r="H54" s="144"/>
      <c r="I54" s="144"/>
      <c r="J54" s="144"/>
      <c r="K54" s="144"/>
      <c r="L54" s="144"/>
      <c r="M54" s="144"/>
      <c r="N54" s="146"/>
      <c r="O54" s="144"/>
      <c r="P54" s="144"/>
      <c r="Q54" s="144"/>
      <c r="R54" s="146"/>
      <c r="S54" s="144"/>
      <c r="T54" s="144"/>
      <c r="U54" s="144"/>
      <c r="V54" s="147"/>
    </row>
    <row r="55" spans="1:22" ht="14.25" customHeight="1">
      <c r="A55" s="118" t="s">
        <v>293</v>
      </c>
      <c r="C55" s="143"/>
      <c r="D55" s="144"/>
      <c r="E55" s="144"/>
      <c r="F55" s="144"/>
      <c r="G55" s="139"/>
      <c r="H55" s="144"/>
      <c r="I55" s="144"/>
      <c r="J55" s="144"/>
      <c r="K55" s="144"/>
      <c r="L55" s="144"/>
      <c r="M55" s="144"/>
      <c r="N55" s="146"/>
      <c r="O55" s="144"/>
      <c r="P55" s="144"/>
      <c r="Q55" s="144"/>
      <c r="R55" s="146"/>
      <c r="S55" s="144"/>
      <c r="T55" s="144"/>
      <c r="U55" s="144"/>
      <c r="V55" s="147"/>
    </row>
    <row r="56" spans="1:22" ht="14.25" customHeight="1">
      <c r="A56" s="118" t="s">
        <v>298</v>
      </c>
      <c r="C56" s="143"/>
      <c r="D56" s="144"/>
      <c r="E56" s="144"/>
      <c r="F56" s="144"/>
      <c r="G56" s="139"/>
      <c r="H56" s="144"/>
      <c r="I56" s="144"/>
      <c r="J56" s="144"/>
      <c r="K56" s="144"/>
      <c r="L56" s="144"/>
      <c r="M56" s="144"/>
      <c r="N56" s="146"/>
      <c r="O56" s="144"/>
      <c r="P56" s="144"/>
      <c r="Q56" s="144"/>
      <c r="R56" s="146"/>
      <c r="S56" s="144"/>
      <c r="T56" s="144"/>
      <c r="U56" s="144"/>
      <c r="V56" s="147"/>
    </row>
    <row r="57" spans="1:22" ht="14.25" customHeight="1">
      <c r="A57" s="118" t="s">
        <v>301</v>
      </c>
      <c r="C57" s="143"/>
      <c r="D57" s="144"/>
      <c r="E57" s="144"/>
      <c r="F57" s="144"/>
      <c r="G57" s="139"/>
      <c r="H57" s="144"/>
      <c r="I57" s="144"/>
      <c r="J57" s="144"/>
      <c r="K57" s="144"/>
      <c r="L57" s="144"/>
      <c r="M57" s="144"/>
      <c r="N57" s="146"/>
      <c r="O57" s="144"/>
      <c r="P57" s="144"/>
      <c r="Q57" s="144"/>
      <c r="R57" s="146"/>
      <c r="S57" s="144"/>
      <c r="T57" s="144"/>
      <c r="U57" s="144"/>
      <c r="V57" s="147"/>
    </row>
    <row r="58" spans="1:22" ht="14.25" customHeight="1">
      <c r="A58" s="118" t="s">
        <v>306</v>
      </c>
      <c r="C58" s="143"/>
      <c r="D58" s="144"/>
      <c r="E58" s="144"/>
      <c r="F58" s="144"/>
      <c r="G58" s="139"/>
      <c r="H58" s="144"/>
      <c r="I58" s="144"/>
      <c r="J58" s="144"/>
      <c r="K58" s="144"/>
      <c r="L58" s="144"/>
      <c r="M58" s="144"/>
      <c r="N58" s="146"/>
      <c r="O58" s="144"/>
      <c r="P58" s="144"/>
      <c r="Q58" s="144"/>
      <c r="R58" s="146"/>
      <c r="S58" s="144"/>
      <c r="T58" s="144"/>
      <c r="U58" s="144"/>
      <c r="V58" s="147"/>
    </row>
    <row r="59" spans="1:22" ht="14.25" customHeight="1">
      <c r="A59" s="118" t="s">
        <v>309</v>
      </c>
      <c r="C59" s="143"/>
      <c r="D59" s="144"/>
      <c r="E59" s="144"/>
      <c r="F59" s="144"/>
      <c r="G59" s="139"/>
      <c r="H59" s="144"/>
      <c r="I59" s="144"/>
      <c r="J59" s="144"/>
      <c r="K59" s="144"/>
      <c r="L59" s="144"/>
      <c r="M59" s="144"/>
      <c r="N59" s="146"/>
      <c r="O59" s="144"/>
      <c r="P59" s="144"/>
      <c r="Q59" s="144"/>
      <c r="R59" s="146"/>
      <c r="S59" s="144"/>
      <c r="T59" s="144"/>
      <c r="U59" s="144"/>
      <c r="V59" s="147"/>
    </row>
    <row r="60" spans="1:22" ht="14.25" customHeight="1">
      <c r="A60" s="118" t="s">
        <v>314</v>
      </c>
      <c r="C60" s="143"/>
      <c r="D60" s="144"/>
      <c r="E60" s="144"/>
      <c r="F60" s="144"/>
      <c r="G60" s="139"/>
      <c r="H60" s="144"/>
      <c r="I60" s="144"/>
      <c r="J60" s="144"/>
      <c r="K60" s="144"/>
      <c r="L60" s="144"/>
      <c r="M60" s="144"/>
      <c r="N60" s="146"/>
      <c r="O60" s="144"/>
      <c r="P60" s="144"/>
      <c r="Q60" s="144"/>
      <c r="R60" s="146"/>
      <c r="S60" s="144"/>
      <c r="T60" s="144"/>
      <c r="U60" s="144"/>
      <c r="V60" s="147"/>
    </row>
    <row r="61" spans="1:22" ht="14.25" customHeight="1">
      <c r="A61" s="118" t="s">
        <v>317</v>
      </c>
      <c r="C61" s="143"/>
      <c r="D61" s="144"/>
      <c r="E61" s="144"/>
      <c r="F61" s="144"/>
      <c r="G61" s="139"/>
      <c r="H61" s="144"/>
      <c r="I61" s="144"/>
      <c r="J61" s="144"/>
      <c r="K61" s="144"/>
      <c r="L61" s="144"/>
      <c r="M61" s="144"/>
      <c r="N61" s="146"/>
      <c r="O61" s="144"/>
      <c r="P61" s="144"/>
      <c r="Q61" s="144"/>
      <c r="R61" s="146"/>
      <c r="S61" s="144"/>
      <c r="T61" s="144"/>
      <c r="U61" s="144"/>
      <c r="V61" s="147"/>
    </row>
    <row r="62" spans="1:22" ht="14.25" customHeight="1">
      <c r="A62" s="118" t="s">
        <v>322</v>
      </c>
      <c r="C62" s="143"/>
      <c r="D62" s="144"/>
      <c r="E62" s="144"/>
      <c r="F62" s="144"/>
      <c r="G62" s="139"/>
      <c r="H62" s="144"/>
      <c r="I62" s="144"/>
      <c r="J62" s="144"/>
      <c r="K62" s="144"/>
      <c r="L62" s="144"/>
      <c r="M62" s="144"/>
      <c r="N62" s="146"/>
      <c r="O62" s="144"/>
      <c r="P62" s="144"/>
      <c r="Q62" s="144"/>
      <c r="R62" s="146"/>
      <c r="S62" s="144"/>
      <c r="T62" s="144"/>
      <c r="U62" s="144"/>
      <c r="V62" s="147"/>
    </row>
    <row r="63" spans="1:22" ht="14.25" customHeight="1">
      <c r="A63" s="118" t="s">
        <v>325</v>
      </c>
      <c r="C63" s="143"/>
      <c r="D63" s="144"/>
      <c r="E63" s="144"/>
      <c r="F63" s="144"/>
      <c r="G63" s="139"/>
      <c r="H63" s="144"/>
      <c r="I63" s="144"/>
      <c r="J63" s="144"/>
      <c r="K63" s="144"/>
      <c r="L63" s="144"/>
      <c r="M63" s="144"/>
      <c r="N63" s="146"/>
      <c r="O63" s="144"/>
      <c r="P63" s="144"/>
      <c r="Q63" s="144"/>
      <c r="R63" s="146"/>
      <c r="S63" s="144"/>
      <c r="T63" s="144"/>
      <c r="U63" s="144"/>
      <c r="V63" s="147"/>
    </row>
    <row r="64" spans="1:22" ht="14.25" customHeight="1">
      <c r="A64" s="118" t="s">
        <v>330</v>
      </c>
      <c r="C64" s="143"/>
      <c r="D64" s="144"/>
      <c r="E64" s="144"/>
      <c r="F64" s="144"/>
      <c r="G64" s="139"/>
      <c r="H64" s="144"/>
      <c r="I64" s="144"/>
      <c r="J64" s="144"/>
      <c r="K64" s="144"/>
      <c r="L64" s="144"/>
      <c r="M64" s="144"/>
      <c r="N64" s="146"/>
      <c r="O64" s="144"/>
      <c r="P64" s="144"/>
      <c r="Q64" s="144"/>
      <c r="R64" s="146"/>
      <c r="S64" s="144"/>
      <c r="T64" s="144"/>
      <c r="U64" s="144"/>
      <c r="V64" s="147"/>
    </row>
    <row r="65" spans="1:22" ht="14.25" customHeight="1">
      <c r="C65" s="143"/>
      <c r="D65" s="144"/>
      <c r="E65" s="144"/>
      <c r="F65" s="144"/>
      <c r="G65" s="139"/>
      <c r="H65" s="144"/>
      <c r="I65" s="144"/>
      <c r="J65" s="144"/>
      <c r="K65" s="144"/>
      <c r="L65" s="144"/>
      <c r="M65" s="144"/>
      <c r="N65" s="146"/>
      <c r="O65" s="144"/>
      <c r="P65" s="144"/>
      <c r="Q65" s="144"/>
      <c r="R65" s="146"/>
      <c r="S65" s="144"/>
      <c r="T65" s="144"/>
      <c r="U65" s="144"/>
      <c r="V65" s="147"/>
    </row>
    <row r="66" spans="1:22" ht="14.25" customHeight="1">
      <c r="A66" s="118" t="s">
        <v>257</v>
      </c>
      <c r="C66" s="143"/>
      <c r="D66" s="144"/>
      <c r="E66" s="144"/>
      <c r="F66" s="144"/>
      <c r="G66" s="139"/>
      <c r="H66" s="144"/>
      <c r="I66" s="144"/>
      <c r="J66" s="144"/>
      <c r="K66" s="144"/>
      <c r="L66" s="144"/>
      <c r="M66" s="144"/>
      <c r="N66" s="146"/>
      <c r="O66" s="144"/>
      <c r="P66" s="144"/>
      <c r="Q66" s="144"/>
      <c r="R66" s="146"/>
      <c r="S66" s="144"/>
      <c r="T66" s="144"/>
      <c r="U66" s="144"/>
      <c r="V66" s="147"/>
    </row>
    <row r="67" spans="1:22" ht="14.25" customHeight="1">
      <c r="A67" s="118" t="s">
        <v>262</v>
      </c>
      <c r="C67" s="143"/>
      <c r="D67" s="144"/>
      <c r="E67" s="144"/>
      <c r="F67" s="144"/>
      <c r="G67" s="139"/>
      <c r="H67" s="144"/>
      <c r="I67" s="144"/>
      <c r="J67" s="144"/>
      <c r="K67" s="144"/>
      <c r="L67" s="144"/>
      <c r="M67" s="144"/>
      <c r="N67" s="146"/>
      <c r="O67" s="144"/>
      <c r="P67" s="144"/>
      <c r="Q67" s="144"/>
      <c r="R67" s="146"/>
      <c r="S67" s="144"/>
      <c r="T67" s="144"/>
      <c r="U67" s="144"/>
      <c r="V67" s="147"/>
    </row>
    <row r="68" spans="1:22" ht="14.25" customHeight="1">
      <c r="C68" s="143"/>
      <c r="D68" s="144"/>
      <c r="E68" s="144"/>
      <c r="F68" s="144"/>
      <c r="G68" s="139"/>
      <c r="H68" s="144"/>
      <c r="I68" s="144"/>
      <c r="J68" s="144"/>
      <c r="K68" s="144"/>
      <c r="L68" s="144"/>
      <c r="M68" s="144"/>
      <c r="N68" s="146"/>
      <c r="O68" s="144"/>
      <c r="P68" s="144"/>
      <c r="Q68" s="144"/>
      <c r="R68" s="146"/>
      <c r="S68" s="144"/>
      <c r="T68" s="144"/>
      <c r="U68" s="144"/>
      <c r="V68" s="147"/>
    </row>
    <row r="69" spans="1:22" ht="14.25" customHeight="1">
      <c r="A69" s="118" t="s">
        <v>270</v>
      </c>
      <c r="C69" s="143"/>
      <c r="D69" s="144"/>
      <c r="E69" s="144"/>
      <c r="F69" s="144"/>
      <c r="G69" s="139"/>
      <c r="H69" s="144"/>
      <c r="I69" s="144"/>
      <c r="J69" s="144"/>
      <c r="K69" s="144"/>
      <c r="L69" s="144"/>
      <c r="M69" s="144"/>
      <c r="N69" s="146"/>
      <c r="O69" s="144"/>
      <c r="P69" s="144"/>
      <c r="Q69" s="144"/>
      <c r="R69" s="146"/>
      <c r="S69" s="144"/>
      <c r="T69" s="144"/>
      <c r="U69" s="144"/>
      <c r="V69" s="147"/>
    </row>
    <row r="70" spans="1:22" ht="14.25" customHeight="1">
      <c r="C70" s="143"/>
      <c r="D70" s="144"/>
      <c r="E70" s="144"/>
      <c r="F70" s="144"/>
      <c r="G70" s="139"/>
      <c r="H70" s="144"/>
      <c r="I70" s="144"/>
      <c r="J70" s="144"/>
      <c r="K70" s="144"/>
      <c r="L70" s="144"/>
      <c r="M70" s="144"/>
      <c r="N70" s="146"/>
      <c r="O70" s="144"/>
      <c r="P70" s="144"/>
      <c r="Q70" s="144"/>
      <c r="R70" s="146"/>
      <c r="S70" s="144"/>
      <c r="T70" s="144"/>
      <c r="U70" s="144"/>
      <c r="V70" s="147"/>
    </row>
    <row r="71" spans="1:22" ht="14.25" customHeight="1">
      <c r="A71" s="118" t="s">
        <v>278</v>
      </c>
      <c r="C71" s="143"/>
      <c r="D71" s="144"/>
      <c r="E71" s="144"/>
      <c r="F71" s="144"/>
      <c r="G71" s="139"/>
      <c r="H71" s="144"/>
      <c r="I71" s="144"/>
      <c r="J71" s="144"/>
      <c r="K71" s="144"/>
      <c r="L71" s="144"/>
      <c r="M71" s="144"/>
      <c r="N71" s="146"/>
      <c r="O71" s="144"/>
      <c r="P71" s="144"/>
      <c r="Q71" s="144"/>
      <c r="R71" s="146"/>
      <c r="S71" s="144"/>
      <c r="T71" s="144"/>
      <c r="U71" s="144"/>
      <c r="V71" s="147"/>
    </row>
    <row r="72" spans="1:22" ht="14.25" customHeight="1">
      <c r="A72" s="129"/>
      <c r="C72" s="143"/>
      <c r="D72" s="144"/>
      <c r="E72" s="144"/>
      <c r="F72" s="144"/>
      <c r="G72" s="139"/>
      <c r="H72" s="144"/>
      <c r="I72" s="144"/>
      <c r="J72" s="144"/>
      <c r="K72" s="144"/>
      <c r="L72" s="144"/>
      <c r="M72" s="144"/>
      <c r="N72" s="146"/>
      <c r="O72" s="144"/>
      <c r="P72" s="144"/>
      <c r="Q72" s="144"/>
      <c r="R72" s="146"/>
      <c r="S72" s="144"/>
      <c r="T72" s="144"/>
      <c r="U72" s="144"/>
      <c r="V72" s="147"/>
    </row>
    <row r="73" spans="1:22" ht="14.25" customHeight="1">
      <c r="A73" s="118" t="s">
        <v>286</v>
      </c>
      <c r="C73" s="143"/>
      <c r="D73" s="144"/>
      <c r="E73" s="144"/>
      <c r="F73" s="144"/>
      <c r="G73" s="139"/>
      <c r="H73" s="144"/>
      <c r="I73" s="144"/>
      <c r="J73" s="144"/>
      <c r="K73" s="144"/>
      <c r="L73" s="144"/>
      <c r="M73" s="144"/>
      <c r="N73" s="146"/>
      <c r="O73" s="144"/>
      <c r="P73" s="144"/>
      <c r="Q73" s="144"/>
      <c r="R73" s="146"/>
      <c r="S73" s="144"/>
      <c r="T73" s="144"/>
      <c r="U73" s="144"/>
      <c r="V73" s="147"/>
    </row>
    <row r="74" spans="1:22" ht="14.25" customHeight="1">
      <c r="C74" s="143"/>
      <c r="D74" s="144"/>
      <c r="E74" s="144"/>
      <c r="F74" s="144"/>
      <c r="G74" s="139"/>
      <c r="H74" s="144"/>
      <c r="I74" s="144"/>
      <c r="J74" s="144"/>
      <c r="K74" s="144"/>
      <c r="L74" s="144"/>
      <c r="M74" s="144"/>
      <c r="N74" s="146"/>
      <c r="O74" s="144"/>
      <c r="P74" s="144"/>
      <c r="Q74" s="144"/>
      <c r="R74" s="146"/>
      <c r="S74" s="144"/>
      <c r="T74" s="144"/>
      <c r="U74" s="144"/>
      <c r="V74" s="147"/>
    </row>
    <row r="75" spans="1:22" ht="14.25" customHeight="1">
      <c r="A75" s="118" t="s">
        <v>294</v>
      </c>
      <c r="C75" s="143"/>
      <c r="D75" s="144"/>
      <c r="E75" s="144"/>
      <c r="F75" s="144"/>
      <c r="G75" s="139"/>
      <c r="H75" s="144"/>
      <c r="I75" s="144"/>
      <c r="J75" s="144"/>
      <c r="K75" s="144"/>
      <c r="L75" s="144"/>
      <c r="M75" s="144"/>
      <c r="N75" s="146"/>
      <c r="O75" s="144"/>
      <c r="P75" s="144"/>
      <c r="Q75" s="144"/>
      <c r="R75" s="146"/>
      <c r="S75" s="144"/>
      <c r="T75" s="144"/>
      <c r="U75" s="144"/>
      <c r="V75" s="147"/>
    </row>
    <row r="76" spans="1:22" ht="14.25" customHeight="1">
      <c r="C76" s="143"/>
      <c r="D76" s="144"/>
      <c r="E76" s="144"/>
      <c r="F76" s="144"/>
      <c r="G76" s="139"/>
      <c r="H76" s="144"/>
      <c r="I76" s="144"/>
      <c r="J76" s="144"/>
      <c r="K76" s="144"/>
      <c r="L76" s="144"/>
      <c r="M76" s="144"/>
      <c r="N76" s="146"/>
      <c r="O76" s="144"/>
      <c r="P76" s="144"/>
      <c r="Q76" s="144"/>
      <c r="R76" s="146"/>
      <c r="S76" s="144"/>
      <c r="T76" s="144"/>
      <c r="U76" s="144"/>
      <c r="V76" s="147"/>
    </row>
    <row r="77" spans="1:22" ht="14.25" customHeight="1">
      <c r="A77" s="118" t="s">
        <v>302</v>
      </c>
      <c r="C77" s="143"/>
      <c r="D77" s="144"/>
      <c r="E77" s="144"/>
      <c r="F77" s="144"/>
      <c r="G77" s="139"/>
      <c r="H77" s="144"/>
      <c r="I77" s="144"/>
      <c r="J77" s="144"/>
      <c r="K77" s="144"/>
      <c r="L77" s="144"/>
      <c r="M77" s="144"/>
      <c r="N77" s="146"/>
      <c r="O77" s="144"/>
      <c r="P77" s="144"/>
      <c r="Q77" s="144"/>
      <c r="R77" s="146"/>
      <c r="S77" s="144"/>
      <c r="T77" s="144"/>
      <c r="U77" s="144"/>
      <c r="V77" s="147"/>
    </row>
    <row r="78" spans="1:22" ht="14.25" customHeight="1">
      <c r="C78" s="143"/>
      <c r="D78" s="144"/>
      <c r="E78" s="144"/>
      <c r="F78" s="144"/>
      <c r="G78" s="139"/>
      <c r="H78" s="144"/>
      <c r="I78" s="144"/>
      <c r="J78" s="144"/>
      <c r="K78" s="144"/>
      <c r="L78" s="144"/>
      <c r="M78" s="144"/>
      <c r="N78" s="146"/>
      <c r="O78" s="144"/>
      <c r="P78" s="144"/>
      <c r="Q78" s="144"/>
      <c r="R78" s="146"/>
      <c r="S78" s="144"/>
      <c r="T78" s="144"/>
      <c r="U78" s="144"/>
      <c r="V78" s="147"/>
    </row>
    <row r="79" spans="1:22" ht="14.25" customHeight="1">
      <c r="A79" s="118" t="s">
        <v>310</v>
      </c>
      <c r="C79" s="143"/>
      <c r="D79" s="144"/>
      <c r="E79" s="144"/>
      <c r="F79" s="144"/>
      <c r="G79" s="139"/>
      <c r="H79" s="144"/>
      <c r="I79" s="144"/>
      <c r="J79" s="144"/>
      <c r="K79" s="144"/>
      <c r="L79" s="144"/>
      <c r="M79" s="144"/>
      <c r="N79" s="146"/>
      <c r="O79" s="144"/>
      <c r="P79" s="144"/>
      <c r="Q79" s="144"/>
      <c r="R79" s="146"/>
      <c r="S79" s="144"/>
      <c r="T79" s="144"/>
      <c r="U79" s="144"/>
      <c r="V79" s="147"/>
    </row>
    <row r="80" spans="1:22" ht="14.25" customHeight="1">
      <c r="C80" s="143"/>
      <c r="D80" s="144"/>
      <c r="E80" s="144"/>
      <c r="F80" s="144"/>
      <c r="G80" s="139"/>
      <c r="H80" s="144"/>
      <c r="I80" s="144"/>
      <c r="J80" s="144"/>
      <c r="K80" s="144"/>
      <c r="L80" s="144"/>
      <c r="M80" s="144"/>
      <c r="N80" s="146"/>
      <c r="O80" s="144"/>
      <c r="P80" s="144"/>
      <c r="Q80" s="144"/>
      <c r="R80" s="146"/>
      <c r="S80" s="144"/>
      <c r="T80" s="144"/>
      <c r="U80" s="144"/>
      <c r="V80" s="147"/>
    </row>
    <row r="81" spans="1:22" ht="14.25" customHeight="1">
      <c r="A81" s="118" t="s">
        <v>318</v>
      </c>
      <c r="C81" s="143"/>
      <c r="D81" s="144"/>
      <c r="E81" s="144"/>
      <c r="F81" s="144"/>
      <c r="G81" s="139"/>
      <c r="H81" s="144"/>
      <c r="I81" s="144"/>
      <c r="J81" s="144"/>
      <c r="K81" s="144"/>
      <c r="L81" s="144"/>
      <c r="M81" s="144"/>
      <c r="N81" s="146"/>
      <c r="O81" s="144"/>
      <c r="P81" s="144"/>
      <c r="Q81" s="144"/>
      <c r="R81" s="146"/>
      <c r="S81" s="144"/>
      <c r="T81" s="144"/>
      <c r="U81" s="144"/>
      <c r="V81" s="147"/>
    </row>
    <row r="82" spans="1:22" ht="14.25" customHeight="1">
      <c r="C82" s="143"/>
      <c r="D82" s="144"/>
      <c r="E82" s="144"/>
      <c r="F82" s="144"/>
      <c r="G82" s="139"/>
      <c r="H82" s="144"/>
      <c r="I82" s="144"/>
      <c r="J82" s="144"/>
      <c r="K82" s="144"/>
      <c r="L82" s="144"/>
      <c r="M82" s="144"/>
      <c r="N82" s="146"/>
      <c r="O82" s="144"/>
      <c r="P82" s="144"/>
      <c r="Q82" s="144"/>
      <c r="R82" s="146"/>
      <c r="S82" s="144"/>
      <c r="T82" s="144"/>
      <c r="U82" s="144"/>
      <c r="V82" s="147"/>
    </row>
    <row r="83" spans="1:22" ht="14.25" customHeight="1">
      <c r="A83" s="118" t="s">
        <v>326</v>
      </c>
      <c r="C83" s="143"/>
      <c r="D83" s="144"/>
      <c r="E83" s="144"/>
      <c r="F83" s="144"/>
      <c r="G83" s="139"/>
      <c r="H83" s="144"/>
      <c r="I83" s="144"/>
      <c r="J83" s="144"/>
      <c r="K83" s="144"/>
      <c r="L83" s="144"/>
      <c r="M83" s="144"/>
      <c r="N83" s="146"/>
      <c r="O83" s="144"/>
      <c r="P83" s="144"/>
      <c r="Q83" s="144"/>
      <c r="R83" s="146"/>
      <c r="S83" s="144"/>
      <c r="T83" s="144"/>
      <c r="U83" s="144"/>
      <c r="V83" s="147"/>
    </row>
    <row r="84" spans="1:22" ht="14.25" customHeight="1">
      <c r="C84" s="143"/>
      <c r="D84" s="144"/>
      <c r="E84" s="144"/>
      <c r="F84" s="144"/>
      <c r="G84" s="139"/>
      <c r="H84" s="144"/>
      <c r="I84" s="144"/>
      <c r="J84" s="144"/>
      <c r="K84" s="144"/>
      <c r="L84" s="144"/>
      <c r="M84" s="144"/>
      <c r="N84" s="146"/>
      <c r="O84" s="144"/>
      <c r="P84" s="144"/>
      <c r="Q84" s="144"/>
      <c r="R84" s="146"/>
      <c r="S84" s="144"/>
      <c r="T84" s="144"/>
      <c r="U84" s="144"/>
      <c r="V84" s="147"/>
    </row>
    <row r="85" spans="1:22" ht="14.25" customHeight="1">
      <c r="C85" s="143"/>
      <c r="D85" s="144"/>
      <c r="E85" s="144"/>
      <c r="F85" s="144"/>
      <c r="G85" s="139"/>
      <c r="H85" s="144"/>
      <c r="I85" s="144"/>
      <c r="J85" s="144"/>
      <c r="K85" s="144"/>
      <c r="L85" s="144"/>
      <c r="M85" s="144"/>
      <c r="N85" s="146"/>
      <c r="O85" s="144"/>
      <c r="P85" s="144"/>
      <c r="Q85" s="144"/>
      <c r="R85" s="146"/>
      <c r="S85" s="144"/>
      <c r="T85" s="144"/>
      <c r="U85" s="144"/>
      <c r="V85" s="147"/>
    </row>
    <row r="86" spans="1:22" ht="14.25" customHeight="1">
      <c r="A86" s="118" t="s">
        <v>258</v>
      </c>
      <c r="C86" s="143"/>
      <c r="D86" s="144"/>
      <c r="E86" s="144"/>
      <c r="F86" s="144"/>
      <c r="G86" s="139"/>
      <c r="H86" s="144"/>
      <c r="I86" s="144"/>
      <c r="J86" s="144"/>
      <c r="K86" s="144"/>
      <c r="L86" s="144"/>
      <c r="M86" s="144"/>
      <c r="N86" s="146"/>
      <c r="O86" s="144"/>
      <c r="P86" s="144"/>
      <c r="Q86" s="144"/>
      <c r="R86" s="146"/>
      <c r="S86" s="144"/>
      <c r="T86" s="144"/>
      <c r="U86" s="144"/>
      <c r="V86" s="147"/>
    </row>
    <row r="87" spans="1:22" ht="14.25" customHeight="1">
      <c r="A87" s="118" t="s">
        <v>263</v>
      </c>
      <c r="C87" s="143"/>
      <c r="D87" s="144"/>
      <c r="E87" s="144"/>
      <c r="F87" s="144"/>
      <c r="G87" s="139"/>
      <c r="H87" s="144"/>
      <c r="I87" s="144"/>
      <c r="J87" s="144"/>
      <c r="K87" s="144"/>
      <c r="L87" s="144"/>
      <c r="M87" s="144"/>
      <c r="N87" s="146"/>
      <c r="O87" s="144"/>
      <c r="P87" s="144"/>
      <c r="Q87" s="144"/>
      <c r="R87" s="146"/>
      <c r="S87" s="144"/>
      <c r="T87" s="144"/>
      <c r="U87" s="144"/>
      <c r="V87" s="147"/>
    </row>
    <row r="88" spans="1:22" ht="14.25" customHeight="1">
      <c r="C88" s="143"/>
      <c r="D88" s="144"/>
      <c r="E88" s="144"/>
      <c r="F88" s="144"/>
      <c r="G88" s="139"/>
      <c r="H88" s="144"/>
      <c r="I88" s="144"/>
      <c r="J88" s="144"/>
      <c r="K88" s="144"/>
      <c r="L88" s="144"/>
      <c r="M88" s="144"/>
      <c r="N88" s="146"/>
      <c r="O88" s="144"/>
      <c r="P88" s="144"/>
      <c r="Q88" s="144"/>
      <c r="R88" s="146"/>
      <c r="S88" s="144"/>
      <c r="T88" s="144"/>
      <c r="U88" s="144"/>
      <c r="V88" s="147"/>
    </row>
    <row r="89" spans="1:22" ht="14.25" customHeight="1">
      <c r="A89" s="118" t="s">
        <v>271</v>
      </c>
      <c r="C89" s="143"/>
      <c r="D89" s="144"/>
      <c r="E89" s="144"/>
      <c r="F89" s="144"/>
      <c r="G89" s="139"/>
      <c r="H89" s="144"/>
      <c r="I89" s="144"/>
      <c r="J89" s="144"/>
      <c r="K89" s="144"/>
      <c r="L89" s="144"/>
      <c r="M89" s="144"/>
      <c r="N89" s="146"/>
      <c r="O89" s="144"/>
      <c r="P89" s="144"/>
      <c r="Q89" s="144"/>
      <c r="R89" s="146"/>
      <c r="S89" s="144"/>
      <c r="T89" s="144"/>
      <c r="U89" s="144"/>
      <c r="V89" s="147"/>
    </row>
    <row r="90" spans="1:22" ht="14.25" customHeight="1">
      <c r="C90" s="143"/>
      <c r="D90" s="144"/>
      <c r="E90" s="144"/>
      <c r="F90" s="144"/>
      <c r="G90" s="139"/>
      <c r="H90" s="144"/>
      <c r="I90" s="144"/>
      <c r="J90" s="144"/>
      <c r="K90" s="144"/>
      <c r="L90" s="144"/>
      <c r="M90" s="144"/>
      <c r="N90" s="146"/>
      <c r="O90" s="144"/>
      <c r="P90" s="144"/>
      <c r="Q90" s="144"/>
      <c r="R90" s="146"/>
      <c r="S90" s="144"/>
      <c r="T90" s="144"/>
      <c r="U90" s="144"/>
      <c r="V90" s="147"/>
    </row>
    <row r="91" spans="1:22" ht="14.25" customHeight="1">
      <c r="A91" s="118" t="s">
        <v>279</v>
      </c>
      <c r="C91" s="143"/>
      <c r="D91" s="144"/>
      <c r="E91" s="144"/>
      <c r="F91" s="144"/>
      <c r="G91" s="139"/>
      <c r="H91" s="144"/>
      <c r="I91" s="144"/>
      <c r="J91" s="144"/>
      <c r="K91" s="144"/>
      <c r="L91" s="144"/>
      <c r="M91" s="144"/>
      <c r="N91" s="146"/>
      <c r="O91" s="144"/>
      <c r="P91" s="144"/>
      <c r="Q91" s="144"/>
      <c r="R91" s="146"/>
      <c r="S91" s="144"/>
      <c r="T91" s="144"/>
      <c r="U91" s="144"/>
      <c r="V91" s="147"/>
    </row>
    <row r="92" spans="1:22" ht="14.25" customHeight="1">
      <c r="C92" s="143"/>
      <c r="D92" s="144"/>
      <c r="E92" s="144"/>
      <c r="F92" s="144"/>
      <c r="G92" s="139"/>
      <c r="H92" s="144"/>
      <c r="I92" s="144"/>
      <c r="J92" s="144"/>
      <c r="K92" s="144"/>
      <c r="L92" s="144"/>
      <c r="M92" s="144"/>
      <c r="N92" s="146"/>
      <c r="O92" s="144"/>
      <c r="P92" s="144"/>
      <c r="Q92" s="144"/>
      <c r="R92" s="146"/>
      <c r="S92" s="144"/>
      <c r="T92" s="144"/>
      <c r="U92" s="144"/>
      <c r="V92" s="147"/>
    </row>
    <row r="93" spans="1:22" ht="14.25" customHeight="1">
      <c r="A93" s="118" t="s">
        <v>287</v>
      </c>
      <c r="C93" s="143"/>
      <c r="D93" s="144"/>
      <c r="E93" s="144"/>
      <c r="F93" s="144"/>
      <c r="G93" s="139"/>
      <c r="H93" s="144"/>
      <c r="I93" s="144"/>
      <c r="J93" s="144"/>
      <c r="K93" s="144"/>
      <c r="L93" s="144"/>
      <c r="M93" s="144"/>
      <c r="N93" s="146"/>
      <c r="O93" s="144"/>
      <c r="P93" s="144"/>
      <c r="Q93" s="144"/>
      <c r="R93" s="146"/>
      <c r="S93" s="144"/>
      <c r="T93" s="144"/>
      <c r="U93" s="144"/>
      <c r="V93" s="147"/>
    </row>
    <row r="94" spans="1:22" ht="14.25" customHeight="1">
      <c r="C94" s="143"/>
      <c r="D94" s="144"/>
      <c r="E94" s="144"/>
      <c r="F94" s="144"/>
      <c r="G94" s="139"/>
      <c r="H94" s="144"/>
      <c r="I94" s="144"/>
      <c r="J94" s="144"/>
      <c r="K94" s="144"/>
      <c r="L94" s="144"/>
      <c r="M94" s="144"/>
      <c r="N94" s="146"/>
      <c r="O94" s="144"/>
      <c r="P94" s="144"/>
      <c r="Q94" s="144"/>
      <c r="R94" s="146"/>
      <c r="S94" s="144"/>
      <c r="T94" s="144"/>
      <c r="U94" s="144"/>
      <c r="V94" s="147"/>
    </row>
    <row r="95" spans="1:22" ht="14.25" customHeight="1">
      <c r="A95" s="118" t="s">
        <v>295</v>
      </c>
      <c r="C95" s="143"/>
      <c r="D95" s="144"/>
      <c r="E95" s="144"/>
      <c r="F95" s="144"/>
      <c r="G95" s="139"/>
      <c r="H95" s="144"/>
      <c r="I95" s="144"/>
      <c r="J95" s="144"/>
      <c r="K95" s="144"/>
      <c r="L95" s="144"/>
      <c r="M95" s="144"/>
      <c r="N95" s="146"/>
      <c r="O95" s="144"/>
      <c r="P95" s="144"/>
      <c r="Q95" s="144"/>
      <c r="R95" s="146"/>
      <c r="S95" s="144"/>
      <c r="T95" s="144"/>
      <c r="U95" s="144"/>
      <c r="V95" s="147"/>
    </row>
    <row r="96" spans="1:22" ht="14.25" customHeight="1">
      <c r="C96" s="143"/>
      <c r="D96" s="144"/>
      <c r="E96" s="144"/>
      <c r="F96" s="144"/>
      <c r="G96" s="139"/>
      <c r="H96" s="144"/>
      <c r="I96" s="144"/>
      <c r="J96" s="144"/>
      <c r="K96" s="144"/>
      <c r="L96" s="144"/>
      <c r="M96" s="144"/>
      <c r="N96" s="146"/>
      <c r="O96" s="144"/>
      <c r="P96" s="144"/>
      <c r="Q96" s="144"/>
      <c r="R96" s="146"/>
      <c r="S96" s="144"/>
      <c r="T96" s="144"/>
      <c r="U96" s="144"/>
      <c r="V96" s="147"/>
    </row>
    <row r="97" spans="1:22" ht="14.25" customHeight="1">
      <c r="A97" s="118" t="s">
        <v>303</v>
      </c>
      <c r="C97" s="143"/>
      <c r="D97" s="144"/>
      <c r="E97" s="144"/>
      <c r="F97" s="144"/>
      <c r="G97" s="139"/>
      <c r="H97" s="144"/>
      <c r="I97" s="144"/>
      <c r="J97" s="144"/>
      <c r="K97" s="144"/>
      <c r="L97" s="144"/>
      <c r="M97" s="144"/>
      <c r="N97" s="146"/>
      <c r="O97" s="144"/>
      <c r="P97" s="144"/>
      <c r="Q97" s="144"/>
      <c r="R97" s="146"/>
      <c r="S97" s="144"/>
      <c r="T97" s="144"/>
      <c r="U97" s="144"/>
      <c r="V97" s="147"/>
    </row>
    <row r="98" spans="1:22" ht="14.25" customHeight="1">
      <c r="C98" s="143"/>
      <c r="D98" s="144"/>
      <c r="E98" s="144"/>
      <c r="F98" s="144"/>
      <c r="G98" s="139"/>
      <c r="H98" s="144"/>
      <c r="I98" s="144"/>
      <c r="J98" s="144"/>
      <c r="K98" s="144"/>
      <c r="L98" s="144"/>
      <c r="M98" s="144"/>
      <c r="N98" s="146"/>
      <c r="O98" s="144"/>
      <c r="P98" s="144"/>
      <c r="Q98" s="144"/>
      <c r="R98" s="146"/>
      <c r="S98" s="144"/>
      <c r="T98" s="144"/>
      <c r="U98" s="144"/>
      <c r="V98" s="147"/>
    </row>
    <row r="99" spans="1:22" ht="14.25" customHeight="1">
      <c r="A99" s="118" t="s">
        <v>311</v>
      </c>
      <c r="C99" s="143"/>
      <c r="D99" s="144"/>
      <c r="E99" s="144"/>
      <c r="F99" s="144"/>
      <c r="G99" s="139"/>
      <c r="H99" s="144"/>
      <c r="I99" s="144"/>
      <c r="J99" s="144"/>
      <c r="K99" s="144"/>
      <c r="L99" s="144"/>
      <c r="M99" s="144"/>
      <c r="N99" s="146"/>
      <c r="O99" s="144"/>
      <c r="P99" s="144"/>
      <c r="Q99" s="144"/>
      <c r="R99" s="146"/>
      <c r="S99" s="144"/>
      <c r="T99" s="144"/>
      <c r="U99" s="144"/>
      <c r="V99" s="147"/>
    </row>
    <row r="100" spans="1:22" ht="14.25" customHeight="1">
      <c r="C100" s="143"/>
      <c r="D100" s="144"/>
      <c r="E100" s="144"/>
      <c r="F100" s="144"/>
      <c r="G100" s="139"/>
      <c r="H100" s="144"/>
      <c r="I100" s="144"/>
      <c r="J100" s="144"/>
      <c r="K100" s="144"/>
      <c r="L100" s="144"/>
      <c r="M100" s="144"/>
      <c r="N100" s="146"/>
      <c r="O100" s="144"/>
      <c r="P100" s="144"/>
      <c r="Q100" s="144"/>
      <c r="R100" s="146"/>
      <c r="S100" s="144"/>
      <c r="T100" s="144"/>
      <c r="U100" s="144"/>
      <c r="V100" s="147"/>
    </row>
    <row r="101" spans="1:22" ht="14.25" customHeight="1">
      <c r="A101" s="118" t="s">
        <v>319</v>
      </c>
      <c r="C101" s="143"/>
      <c r="D101" s="144"/>
      <c r="E101" s="144"/>
      <c r="F101" s="144"/>
      <c r="G101" s="139"/>
      <c r="H101" s="144"/>
      <c r="I101" s="144"/>
      <c r="J101" s="144"/>
      <c r="K101" s="144"/>
      <c r="L101" s="144"/>
      <c r="M101" s="144"/>
      <c r="N101" s="146"/>
      <c r="O101" s="144"/>
      <c r="P101" s="144"/>
      <c r="Q101" s="144"/>
      <c r="R101" s="146"/>
      <c r="S101" s="144"/>
      <c r="T101" s="144"/>
      <c r="U101" s="144"/>
      <c r="V101" s="147"/>
    </row>
    <row r="102" spans="1:22" ht="14.25" customHeight="1">
      <c r="C102" s="143"/>
      <c r="D102" s="144"/>
      <c r="E102" s="144"/>
      <c r="F102" s="144"/>
      <c r="G102" s="139"/>
      <c r="H102" s="144"/>
      <c r="I102" s="144"/>
      <c r="J102" s="144"/>
      <c r="K102" s="144"/>
      <c r="L102" s="144"/>
      <c r="M102" s="144"/>
      <c r="N102" s="146"/>
      <c r="O102" s="144"/>
      <c r="P102" s="144"/>
      <c r="Q102" s="144"/>
      <c r="R102" s="146"/>
      <c r="S102" s="144"/>
      <c r="T102" s="144"/>
      <c r="U102" s="144"/>
      <c r="V102" s="147"/>
    </row>
    <row r="103" spans="1:22" ht="14.25" customHeight="1">
      <c r="A103" s="118" t="s">
        <v>327</v>
      </c>
      <c r="C103" s="143"/>
      <c r="D103" s="144"/>
      <c r="E103" s="144"/>
      <c r="F103" s="144"/>
      <c r="G103" s="139"/>
      <c r="H103" s="144"/>
      <c r="I103" s="144"/>
      <c r="J103" s="144"/>
      <c r="K103" s="144"/>
      <c r="L103" s="144"/>
      <c r="M103" s="144"/>
      <c r="N103" s="146"/>
      <c r="O103" s="144"/>
      <c r="P103" s="144"/>
      <c r="Q103" s="144"/>
      <c r="R103" s="146"/>
      <c r="S103" s="144"/>
      <c r="T103" s="144"/>
      <c r="U103" s="144"/>
      <c r="V103" s="147"/>
    </row>
    <row r="104" spans="1:22" ht="14.25" customHeight="1">
      <c r="C104" s="143"/>
      <c r="D104" s="144"/>
      <c r="E104" s="144"/>
      <c r="F104" s="144"/>
      <c r="G104" s="139"/>
      <c r="H104" s="144"/>
      <c r="I104" s="144"/>
      <c r="J104" s="144"/>
      <c r="K104" s="144"/>
      <c r="L104" s="144"/>
      <c r="M104" s="144"/>
      <c r="N104" s="146"/>
      <c r="O104" s="144"/>
      <c r="P104" s="144"/>
      <c r="Q104" s="144"/>
      <c r="R104" s="146"/>
      <c r="S104" s="144"/>
      <c r="T104" s="144"/>
      <c r="U104" s="144"/>
      <c r="V104" s="147"/>
    </row>
    <row r="105" spans="1:22" ht="14.25" customHeight="1">
      <c r="C105" s="143"/>
      <c r="D105" s="144"/>
      <c r="E105" s="144"/>
      <c r="F105" s="144"/>
      <c r="G105" s="139"/>
      <c r="H105" s="144"/>
      <c r="I105" s="144"/>
      <c r="J105" s="144"/>
      <c r="K105" s="144"/>
      <c r="L105" s="144"/>
      <c r="M105" s="144"/>
      <c r="N105" s="146"/>
      <c r="O105" s="144"/>
      <c r="P105" s="144"/>
      <c r="Q105" s="144"/>
      <c r="R105" s="146"/>
      <c r="S105" s="144"/>
      <c r="T105" s="144"/>
      <c r="U105" s="144"/>
      <c r="V105" s="147"/>
    </row>
    <row r="106" spans="1:22" ht="14.25" customHeight="1">
      <c r="C106" s="143"/>
      <c r="D106" s="144"/>
      <c r="E106" s="144"/>
      <c r="F106" s="144"/>
      <c r="G106" s="139"/>
      <c r="H106" s="144"/>
      <c r="I106" s="144"/>
      <c r="J106" s="144"/>
      <c r="K106" s="144"/>
      <c r="L106" s="144"/>
      <c r="M106" s="144"/>
      <c r="N106" s="146"/>
      <c r="O106" s="144"/>
      <c r="P106" s="144"/>
      <c r="Q106" s="144"/>
      <c r="R106" s="146"/>
      <c r="S106" s="144"/>
      <c r="T106" s="144"/>
      <c r="U106" s="144"/>
      <c r="V106" s="147"/>
    </row>
    <row r="107" spans="1:22" ht="14.25" customHeight="1">
      <c r="C107" s="143"/>
      <c r="D107" s="144"/>
      <c r="E107" s="144"/>
      <c r="F107" s="144"/>
      <c r="G107" s="139"/>
      <c r="H107" s="144"/>
      <c r="I107" s="144"/>
      <c r="J107" s="144"/>
      <c r="K107" s="144"/>
      <c r="L107" s="144"/>
      <c r="M107" s="144"/>
      <c r="N107" s="146"/>
      <c r="O107" s="144"/>
      <c r="P107" s="144"/>
      <c r="Q107" s="144"/>
      <c r="R107" s="146"/>
      <c r="S107" s="144"/>
      <c r="T107" s="144"/>
      <c r="U107" s="144"/>
      <c r="V107" s="147"/>
    </row>
    <row r="108" spans="1:22" ht="14.25" customHeight="1" thickBot="1">
      <c r="C108" s="148"/>
      <c r="D108" s="149"/>
      <c r="E108" s="149"/>
      <c r="F108" s="149"/>
      <c r="G108" s="150"/>
      <c r="H108" s="149"/>
      <c r="I108" s="149"/>
      <c r="J108" s="149"/>
      <c r="K108" s="149"/>
      <c r="L108" s="149"/>
      <c r="M108" s="149"/>
      <c r="N108" s="151"/>
      <c r="O108" s="149"/>
      <c r="P108" s="149"/>
      <c r="Q108" s="149"/>
      <c r="R108" s="151"/>
      <c r="S108" s="149"/>
      <c r="T108" s="149"/>
      <c r="U108" s="149"/>
      <c r="V108" s="152"/>
    </row>
  </sheetData>
  <sheetProtection password="B6E0" sheet="1" objects="1" scenarios="1"/>
  <protectedRanges>
    <protectedRange sqref="C9:V108" name="Range2"/>
    <protectedRange sqref="A1:A1048576" name="Range1"/>
  </protectedRanges>
  <mergeCells count="1">
    <mergeCell ref="C6:V6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7" r:id="rId4" name="Button 157">
              <controlPr defaultSize="0" print="0" autoFill="0" autoLine="0" autoPict="0" macro="[0]!GBoFR_BSC">
                <anchor moveWithCells="1" sizeWithCells="1">
                  <from>
                    <xdr:col>2</xdr:col>
                    <xdr:colOff>28575</xdr:colOff>
                    <xdr:row>1</xdr:row>
                    <xdr:rowOff>85725</xdr:rowOff>
                  </from>
                  <to>
                    <xdr:col>5</xdr:col>
                    <xdr:colOff>323850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229"/>
  <sheetViews>
    <sheetView showGridLines="0" tabSelected="1" zoomScale="70" zoomScaleNormal="70" zoomScaleSheetLayoutView="100" workbookViewId="0"/>
  </sheetViews>
  <sheetFormatPr defaultColWidth="11.42578125" defaultRowHeight="15"/>
  <cols>
    <col min="1" max="1" width="137.28515625" style="118" bestFit="1" customWidth="1"/>
    <col min="2" max="2" width="2.5703125" style="61" customWidth="1"/>
    <col min="3" max="3" width="15.28515625" style="110" customWidth="1"/>
    <col min="4" max="4" width="18.140625" style="110" bestFit="1" customWidth="1"/>
    <col min="5" max="5" width="13" style="110" bestFit="1" customWidth="1"/>
    <col min="6" max="6" width="10.7109375" style="110" customWidth="1"/>
    <col min="7" max="7" width="11" style="110" customWidth="1"/>
    <col min="8" max="8" width="13.28515625" style="110" customWidth="1"/>
    <col min="9" max="9" width="19.28515625" style="110" bestFit="1" customWidth="1"/>
    <col min="10" max="10" width="20.7109375" style="110" bestFit="1" customWidth="1"/>
    <col min="11" max="11" width="15.5703125" style="110" bestFit="1" customWidth="1"/>
    <col min="12" max="12" width="12.42578125" style="110" bestFit="1" customWidth="1"/>
    <col min="13" max="13" width="20.5703125" style="110" bestFit="1" customWidth="1"/>
    <col min="14" max="14" width="23.42578125" style="110" bestFit="1" customWidth="1"/>
    <col min="15" max="15" width="20.85546875" style="110" bestFit="1" customWidth="1"/>
    <col min="16" max="17" width="16.7109375" style="110" bestFit="1" customWidth="1"/>
    <col min="18" max="18" width="15.85546875" style="110" customWidth="1"/>
    <col min="19" max="19" width="15.42578125" style="110" customWidth="1"/>
    <col min="20" max="16384" width="11.42578125" style="61"/>
  </cols>
  <sheetData>
    <row r="1" spans="1:19" ht="15.75" thickBot="1">
      <c r="A1" s="117" t="s">
        <v>196</v>
      </c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</row>
    <row r="2" spans="1:19" ht="18.75" thickBot="1">
      <c r="A2" s="117" t="s">
        <v>197</v>
      </c>
      <c r="C2" s="99"/>
      <c r="D2" s="99"/>
      <c r="E2" s="191" t="s">
        <v>12</v>
      </c>
      <c r="F2" s="192"/>
      <c r="G2" s="192"/>
      <c r="H2" s="192"/>
      <c r="I2" s="192"/>
      <c r="J2" s="192"/>
      <c r="K2" s="192"/>
      <c r="L2" s="192"/>
      <c r="M2" s="192"/>
      <c r="N2" s="192"/>
      <c r="O2" s="192"/>
      <c r="P2" s="192"/>
      <c r="Q2" s="192"/>
      <c r="R2" s="192"/>
      <c r="S2" s="193"/>
    </row>
    <row r="3" spans="1:19" ht="15.75">
      <c r="A3" s="118" t="str">
        <f ca="1">CONCATENATE("!*** Date: ",YEAR(E4),"-",MONTH(E4),"-",DAY(E4)," **************************************************************************************!")</f>
        <v>!*** Date: 2016-3-18 **************************************************************************************!</v>
      </c>
      <c r="C3" s="111"/>
      <c r="D3" s="10"/>
      <c r="E3" s="10"/>
      <c r="F3" s="10"/>
      <c r="G3" s="10"/>
      <c r="H3" s="10"/>
      <c r="I3" s="10"/>
      <c r="J3" s="10"/>
      <c r="K3" s="10"/>
      <c r="L3" s="10"/>
      <c r="M3" s="10"/>
      <c r="N3" s="112"/>
      <c r="O3" s="112"/>
      <c r="P3" s="112"/>
      <c r="Q3" s="112"/>
      <c r="R3" s="112"/>
      <c r="S3" s="99"/>
    </row>
    <row r="4" spans="1:19" ht="15.75">
      <c r="A4" s="117" t="s">
        <v>196</v>
      </c>
      <c r="C4" s="100" t="s">
        <v>27</v>
      </c>
      <c r="D4" s="100">
        <v>1330</v>
      </c>
      <c r="E4" s="98">
        <f ca="1">TODAY()</f>
        <v>42447</v>
      </c>
      <c r="F4" s="99"/>
      <c r="G4" s="10"/>
      <c r="H4" s="10"/>
      <c r="I4" s="10"/>
      <c r="J4" s="10"/>
      <c r="K4" s="10"/>
      <c r="L4" s="10"/>
      <c r="M4" s="10"/>
      <c r="N4" s="112"/>
      <c r="O4" s="112"/>
      <c r="P4" s="112"/>
      <c r="Q4" s="112"/>
      <c r="R4" s="112"/>
      <c r="S4" s="99"/>
    </row>
    <row r="5" spans="1:19" ht="15.75">
      <c r="A5" s="117"/>
      <c r="C5" s="100" t="s">
        <v>28</v>
      </c>
      <c r="D5" s="100" t="s">
        <v>333</v>
      </c>
      <c r="E5" s="83" t="s">
        <v>195</v>
      </c>
      <c r="F5" s="10"/>
      <c r="G5" s="10"/>
      <c r="H5" s="10"/>
      <c r="I5" s="10"/>
      <c r="J5" s="10"/>
      <c r="K5" s="10"/>
      <c r="L5" s="10"/>
      <c r="M5" s="10"/>
      <c r="N5" s="112"/>
      <c r="O5" s="112"/>
      <c r="P5" s="112"/>
      <c r="Q5" s="112"/>
      <c r="R5" s="112"/>
      <c r="S5" s="99"/>
    </row>
    <row r="6" spans="1:19" ht="15.75">
      <c r="A6" s="118" t="s">
        <v>358</v>
      </c>
      <c r="C6" s="78" t="s">
        <v>29</v>
      </c>
      <c r="D6" s="116">
        <v>255255255128</v>
      </c>
      <c r="E6" s="83" t="str">
        <f>RIGHT(D6,3)</f>
        <v>128</v>
      </c>
      <c r="F6" s="10"/>
      <c r="G6" s="10"/>
      <c r="H6" s="10"/>
      <c r="I6" s="10"/>
      <c r="J6" s="10"/>
      <c r="K6" s="10"/>
      <c r="L6" s="10"/>
      <c r="M6" s="10"/>
      <c r="N6" s="112"/>
      <c r="O6" s="112"/>
      <c r="P6" s="112"/>
      <c r="Q6" s="112"/>
      <c r="R6" s="112"/>
      <c r="S6" s="99"/>
    </row>
    <row r="7" spans="1:19" ht="15.75">
      <c r="A7" s="118" t="s">
        <v>365</v>
      </c>
      <c r="C7" s="111"/>
      <c r="D7" s="10"/>
      <c r="E7" s="10"/>
      <c r="F7" s="10"/>
      <c r="G7" s="10"/>
      <c r="H7" s="10"/>
      <c r="I7" s="10"/>
      <c r="J7" s="10"/>
      <c r="K7" s="10"/>
      <c r="L7" s="10"/>
      <c r="M7" s="10"/>
      <c r="N7" s="112"/>
      <c r="O7" s="112"/>
      <c r="P7" s="112"/>
      <c r="Q7" s="112"/>
      <c r="R7" s="112"/>
      <c r="S7" s="99"/>
    </row>
    <row r="8" spans="1:19" ht="16.5" thickBot="1">
      <c r="A8" s="118" t="s">
        <v>370</v>
      </c>
      <c r="C8" s="111"/>
      <c r="D8" s="10"/>
      <c r="E8" s="10"/>
      <c r="F8" s="10"/>
      <c r="G8" s="10"/>
      <c r="H8" s="10"/>
      <c r="I8" s="10"/>
      <c r="J8" s="10"/>
      <c r="K8" s="10"/>
      <c r="L8" s="10"/>
      <c r="M8" s="10"/>
      <c r="N8" s="112"/>
      <c r="O8" s="112"/>
      <c r="P8" s="112"/>
      <c r="Q8" s="112"/>
      <c r="R8" s="112"/>
      <c r="S8" s="99"/>
    </row>
    <row r="9" spans="1:19">
      <c r="A9" s="118" t="s">
        <v>375</v>
      </c>
      <c r="C9" s="194" t="s">
        <v>13</v>
      </c>
      <c r="D9" s="196" t="s">
        <v>14</v>
      </c>
      <c r="E9" s="198" t="s">
        <v>2</v>
      </c>
      <c r="F9" s="199"/>
      <c r="G9" s="199"/>
      <c r="H9" s="199"/>
      <c r="I9" s="199"/>
      <c r="J9" s="199"/>
      <c r="K9" s="199"/>
      <c r="L9" s="199"/>
      <c r="M9" s="199"/>
      <c r="N9" s="200"/>
      <c r="O9" s="201" t="s">
        <v>14</v>
      </c>
      <c r="P9" s="201"/>
      <c r="Q9" s="201"/>
      <c r="R9" s="201"/>
      <c r="S9" s="202"/>
    </row>
    <row r="10" spans="1:19" ht="15.75" thickBot="1">
      <c r="A10" s="118" t="s">
        <v>380</v>
      </c>
      <c r="C10" s="195"/>
      <c r="D10" s="197"/>
      <c r="E10" s="95" t="s">
        <v>15</v>
      </c>
      <c r="F10" s="95" t="s">
        <v>1</v>
      </c>
      <c r="G10" s="95" t="s">
        <v>0</v>
      </c>
      <c r="H10" s="95" t="s">
        <v>16</v>
      </c>
      <c r="I10" s="95" t="s">
        <v>17</v>
      </c>
      <c r="J10" s="95" t="s">
        <v>18</v>
      </c>
      <c r="K10" s="95" t="s">
        <v>19</v>
      </c>
      <c r="L10" s="95" t="s">
        <v>20</v>
      </c>
      <c r="M10" s="95" t="s">
        <v>124</v>
      </c>
      <c r="N10" s="95" t="s">
        <v>21</v>
      </c>
      <c r="O10" s="95" t="s">
        <v>22</v>
      </c>
      <c r="P10" s="95" t="s">
        <v>23</v>
      </c>
      <c r="Q10" s="95" t="s">
        <v>24</v>
      </c>
      <c r="R10" s="96" t="s">
        <v>25</v>
      </c>
      <c r="S10" s="97" t="s">
        <v>26</v>
      </c>
    </row>
    <row r="11" spans="1:19">
      <c r="A11" s="118" t="s">
        <v>385</v>
      </c>
      <c r="C11" s="101" t="s">
        <v>44</v>
      </c>
      <c r="D11" s="94" t="s">
        <v>331</v>
      </c>
      <c r="E11" s="113" t="s">
        <v>332</v>
      </c>
      <c r="F11" s="113">
        <v>9971</v>
      </c>
      <c r="G11" s="113">
        <v>1</v>
      </c>
      <c r="H11" s="102">
        <v>7045</v>
      </c>
      <c r="I11" s="154">
        <v>7045</v>
      </c>
      <c r="J11" s="94" t="s">
        <v>334</v>
      </c>
      <c r="K11" s="94">
        <v>0</v>
      </c>
      <c r="L11" s="103">
        <v>3</v>
      </c>
      <c r="M11" s="94">
        <v>0</v>
      </c>
      <c r="N11" s="102" t="s">
        <v>346</v>
      </c>
      <c r="O11" s="102" t="s">
        <v>425</v>
      </c>
      <c r="P11" s="94">
        <v>50000</v>
      </c>
      <c r="Q11" s="94">
        <v>50000</v>
      </c>
      <c r="R11" s="156">
        <v>50</v>
      </c>
      <c r="S11" s="162">
        <v>50</v>
      </c>
    </row>
    <row r="12" spans="1:19">
      <c r="A12" s="118" t="s">
        <v>390</v>
      </c>
      <c r="C12" s="104" t="s">
        <v>44</v>
      </c>
      <c r="D12" s="85" t="s">
        <v>331</v>
      </c>
      <c r="E12" s="158" t="s">
        <v>332</v>
      </c>
      <c r="F12" s="158">
        <v>9971</v>
      </c>
      <c r="G12" s="114">
        <v>1</v>
      </c>
      <c r="H12" s="154">
        <v>7046</v>
      </c>
      <c r="I12" s="154">
        <v>7046</v>
      </c>
      <c r="J12" s="155" t="s">
        <v>335</v>
      </c>
      <c r="K12" s="85">
        <v>0</v>
      </c>
      <c r="L12" s="106">
        <v>4</v>
      </c>
      <c r="M12" s="85">
        <v>1</v>
      </c>
      <c r="N12" s="105" t="s">
        <v>347</v>
      </c>
      <c r="O12" s="154" t="s">
        <v>425</v>
      </c>
      <c r="P12" s="85">
        <v>50000</v>
      </c>
      <c r="Q12" s="155">
        <v>50001</v>
      </c>
      <c r="R12" s="156">
        <v>50</v>
      </c>
      <c r="S12" s="162">
        <v>50</v>
      </c>
    </row>
    <row r="13" spans="1:19">
      <c r="A13" s="118" t="s">
        <v>395</v>
      </c>
      <c r="C13" s="104" t="s">
        <v>44</v>
      </c>
      <c r="D13" s="85" t="s">
        <v>331</v>
      </c>
      <c r="E13" s="158" t="s">
        <v>332</v>
      </c>
      <c r="F13" s="158">
        <v>9971</v>
      </c>
      <c r="G13" s="114">
        <v>1</v>
      </c>
      <c r="H13" s="154">
        <v>7047</v>
      </c>
      <c r="I13" s="154">
        <v>7047</v>
      </c>
      <c r="J13" s="155" t="s">
        <v>336</v>
      </c>
      <c r="K13" s="85">
        <v>6</v>
      </c>
      <c r="L13" s="106">
        <v>3</v>
      </c>
      <c r="M13" s="155">
        <v>2</v>
      </c>
      <c r="N13" s="105" t="s">
        <v>348</v>
      </c>
      <c r="O13" s="159" t="s">
        <v>425</v>
      </c>
      <c r="P13" s="85">
        <v>50000</v>
      </c>
      <c r="Q13" s="155">
        <v>50002</v>
      </c>
      <c r="R13" s="156">
        <v>50</v>
      </c>
      <c r="S13" s="162">
        <v>50</v>
      </c>
    </row>
    <row r="14" spans="1:19">
      <c r="A14" s="118" t="s">
        <v>400</v>
      </c>
      <c r="C14" s="153" t="s">
        <v>44</v>
      </c>
      <c r="D14" s="85" t="s">
        <v>331</v>
      </c>
      <c r="E14" s="158" t="s">
        <v>332</v>
      </c>
      <c r="F14" s="158">
        <v>9971</v>
      </c>
      <c r="G14" s="114">
        <v>1</v>
      </c>
      <c r="H14" s="154">
        <v>7048</v>
      </c>
      <c r="I14" s="154">
        <v>7048</v>
      </c>
      <c r="J14" s="155" t="s">
        <v>337</v>
      </c>
      <c r="K14" s="85">
        <v>6</v>
      </c>
      <c r="L14" s="106">
        <v>4</v>
      </c>
      <c r="M14" s="155">
        <v>3</v>
      </c>
      <c r="N14" s="105" t="s">
        <v>349</v>
      </c>
      <c r="O14" s="159" t="s">
        <v>425</v>
      </c>
      <c r="P14" s="85">
        <v>50000</v>
      </c>
      <c r="Q14" s="155">
        <v>50003</v>
      </c>
      <c r="R14" s="156">
        <v>50</v>
      </c>
      <c r="S14" s="162">
        <v>50</v>
      </c>
    </row>
    <row r="15" spans="1:19">
      <c r="A15" s="118" t="s">
        <v>405</v>
      </c>
      <c r="C15" s="153" t="s">
        <v>44</v>
      </c>
      <c r="D15" s="85" t="s">
        <v>331</v>
      </c>
      <c r="E15" s="158" t="s">
        <v>332</v>
      </c>
      <c r="F15" s="158">
        <v>9971</v>
      </c>
      <c r="G15" s="114">
        <v>1</v>
      </c>
      <c r="H15" s="154">
        <v>7049</v>
      </c>
      <c r="I15" s="154">
        <v>7049</v>
      </c>
      <c r="J15" s="155" t="s">
        <v>338</v>
      </c>
      <c r="K15" s="85">
        <v>1</v>
      </c>
      <c r="L15" s="106">
        <v>3</v>
      </c>
      <c r="M15" s="156">
        <v>4</v>
      </c>
      <c r="N15" s="105" t="s">
        <v>350</v>
      </c>
      <c r="O15" s="159" t="s">
        <v>425</v>
      </c>
      <c r="P15" s="85">
        <v>50000</v>
      </c>
      <c r="Q15" s="155">
        <v>50004</v>
      </c>
      <c r="R15" s="85">
        <v>50</v>
      </c>
      <c r="S15" s="86">
        <v>50</v>
      </c>
    </row>
    <row r="16" spans="1:19">
      <c r="A16" s="118" t="s">
        <v>410</v>
      </c>
      <c r="C16" s="153" t="s">
        <v>44</v>
      </c>
      <c r="D16" s="108" t="s">
        <v>331</v>
      </c>
      <c r="E16" s="158" t="s">
        <v>332</v>
      </c>
      <c r="F16" s="158">
        <v>9971</v>
      </c>
      <c r="G16" s="108">
        <v>1</v>
      </c>
      <c r="H16" s="154">
        <v>7050</v>
      </c>
      <c r="I16" s="154">
        <v>7050</v>
      </c>
      <c r="J16" s="155" t="s">
        <v>339</v>
      </c>
      <c r="K16" s="109">
        <v>1</v>
      </c>
      <c r="L16" s="109">
        <v>4</v>
      </c>
      <c r="M16" s="155">
        <v>5</v>
      </c>
      <c r="N16" s="108" t="s">
        <v>351</v>
      </c>
      <c r="O16" s="159" t="s">
        <v>425</v>
      </c>
      <c r="P16" s="108">
        <v>50000</v>
      </c>
      <c r="Q16" s="155">
        <v>50005</v>
      </c>
      <c r="R16" s="156">
        <v>50</v>
      </c>
      <c r="S16" s="162">
        <v>50</v>
      </c>
    </row>
    <row r="17" spans="1:19">
      <c r="A17" s="118" t="s">
        <v>415</v>
      </c>
      <c r="C17" s="153" t="s">
        <v>44</v>
      </c>
      <c r="D17" s="108" t="s">
        <v>331</v>
      </c>
      <c r="E17" s="158" t="s">
        <v>332</v>
      </c>
      <c r="F17" s="158">
        <v>9971</v>
      </c>
      <c r="G17" s="108">
        <v>1</v>
      </c>
      <c r="H17" s="154">
        <v>7051</v>
      </c>
      <c r="I17" s="154">
        <v>7051</v>
      </c>
      <c r="J17" s="155" t="s">
        <v>340</v>
      </c>
      <c r="K17" s="109">
        <v>2</v>
      </c>
      <c r="L17" s="109">
        <v>3</v>
      </c>
      <c r="M17" s="155">
        <v>6</v>
      </c>
      <c r="N17" s="108" t="s">
        <v>352</v>
      </c>
      <c r="O17" s="109" t="s">
        <v>425</v>
      </c>
      <c r="P17" s="108">
        <v>50000</v>
      </c>
      <c r="Q17" s="155">
        <v>50006</v>
      </c>
      <c r="R17" s="156">
        <v>50</v>
      </c>
      <c r="S17" s="162">
        <v>50</v>
      </c>
    </row>
    <row r="18" spans="1:19">
      <c r="A18" s="118" t="s">
        <v>420</v>
      </c>
      <c r="C18" s="153" t="s">
        <v>44</v>
      </c>
      <c r="D18" s="108" t="s">
        <v>331</v>
      </c>
      <c r="E18" s="158" t="s">
        <v>332</v>
      </c>
      <c r="F18" s="158">
        <v>9971</v>
      </c>
      <c r="G18" s="108">
        <v>1</v>
      </c>
      <c r="H18" s="154">
        <v>7052</v>
      </c>
      <c r="I18" s="154">
        <v>7052</v>
      </c>
      <c r="J18" s="155" t="s">
        <v>341</v>
      </c>
      <c r="K18" s="109">
        <v>2</v>
      </c>
      <c r="L18" s="109">
        <v>4</v>
      </c>
      <c r="M18" s="156">
        <v>7</v>
      </c>
      <c r="N18" s="108" t="s">
        <v>353</v>
      </c>
      <c r="O18" s="161" t="s">
        <v>425</v>
      </c>
      <c r="P18" s="108">
        <v>50000</v>
      </c>
      <c r="Q18" s="155">
        <v>50007</v>
      </c>
      <c r="R18" s="156">
        <v>50</v>
      </c>
      <c r="S18" s="162">
        <v>50</v>
      </c>
    </row>
    <row r="19" spans="1:19">
      <c r="C19" s="153" t="s">
        <v>44</v>
      </c>
      <c r="D19" s="108" t="s">
        <v>331</v>
      </c>
      <c r="E19" s="158" t="s">
        <v>332</v>
      </c>
      <c r="F19" s="158">
        <v>9971</v>
      </c>
      <c r="G19" s="108">
        <v>1</v>
      </c>
      <c r="H19" s="154">
        <v>7053</v>
      </c>
      <c r="I19" s="154">
        <v>7053</v>
      </c>
      <c r="J19" s="155" t="s">
        <v>342</v>
      </c>
      <c r="K19" s="109">
        <v>3</v>
      </c>
      <c r="L19" s="109">
        <v>3</v>
      </c>
      <c r="M19" s="155">
        <v>8</v>
      </c>
      <c r="N19" s="108" t="s">
        <v>354</v>
      </c>
      <c r="O19" s="161" t="s">
        <v>425</v>
      </c>
      <c r="P19" s="108">
        <v>50000</v>
      </c>
      <c r="Q19" s="155">
        <v>50008</v>
      </c>
      <c r="R19" s="156">
        <v>50</v>
      </c>
      <c r="S19" s="162">
        <v>50</v>
      </c>
    </row>
    <row r="20" spans="1:19">
      <c r="A20" s="118" t="s">
        <v>359</v>
      </c>
      <c r="C20" s="153" t="s">
        <v>44</v>
      </c>
      <c r="D20" s="108" t="s">
        <v>331</v>
      </c>
      <c r="E20" s="158" t="s">
        <v>332</v>
      </c>
      <c r="F20" s="158">
        <v>9971</v>
      </c>
      <c r="G20" s="108">
        <v>1</v>
      </c>
      <c r="H20" s="154">
        <v>7103</v>
      </c>
      <c r="I20" s="154">
        <v>7103</v>
      </c>
      <c r="J20" s="155" t="s">
        <v>343</v>
      </c>
      <c r="K20" s="109">
        <v>3</v>
      </c>
      <c r="L20" s="109">
        <v>4</v>
      </c>
      <c r="M20" s="155">
        <v>9</v>
      </c>
      <c r="N20" s="108" t="s">
        <v>355</v>
      </c>
      <c r="O20" s="161" t="s">
        <v>425</v>
      </c>
      <c r="P20" s="108">
        <v>50000</v>
      </c>
      <c r="Q20" s="155">
        <v>50469</v>
      </c>
      <c r="R20" s="156">
        <v>50</v>
      </c>
      <c r="S20" s="162">
        <v>50</v>
      </c>
    </row>
    <row r="21" spans="1:19">
      <c r="A21" s="118" t="s">
        <v>366</v>
      </c>
      <c r="C21" s="153" t="s">
        <v>44</v>
      </c>
      <c r="D21" s="108" t="s">
        <v>331</v>
      </c>
      <c r="E21" s="158" t="s">
        <v>332</v>
      </c>
      <c r="F21" s="158">
        <v>9971</v>
      </c>
      <c r="G21" s="108">
        <v>1</v>
      </c>
      <c r="H21" s="154">
        <v>7104</v>
      </c>
      <c r="I21" s="154">
        <v>7104</v>
      </c>
      <c r="J21" s="155" t="s">
        <v>344</v>
      </c>
      <c r="K21" s="109">
        <v>5</v>
      </c>
      <c r="L21" s="109">
        <v>3</v>
      </c>
      <c r="M21" s="156">
        <v>10</v>
      </c>
      <c r="N21" s="108" t="s">
        <v>356</v>
      </c>
      <c r="O21" s="109" t="s">
        <v>425</v>
      </c>
      <c r="P21" s="108">
        <v>50000</v>
      </c>
      <c r="Q21" s="155">
        <v>50470</v>
      </c>
      <c r="R21" s="156">
        <v>50</v>
      </c>
      <c r="S21" s="162">
        <v>50</v>
      </c>
    </row>
    <row r="22" spans="1:19">
      <c r="A22" s="118" t="s">
        <v>371</v>
      </c>
      <c r="C22" s="153" t="s">
        <v>44</v>
      </c>
      <c r="D22" s="108" t="s">
        <v>331</v>
      </c>
      <c r="E22" s="158" t="s">
        <v>332</v>
      </c>
      <c r="F22" s="158">
        <v>9971</v>
      </c>
      <c r="G22" s="108">
        <v>1</v>
      </c>
      <c r="H22" s="154">
        <v>7105</v>
      </c>
      <c r="I22" s="154">
        <v>7105</v>
      </c>
      <c r="J22" s="155" t="s">
        <v>345</v>
      </c>
      <c r="K22" s="109">
        <v>5</v>
      </c>
      <c r="L22" s="109">
        <v>4</v>
      </c>
      <c r="M22" s="155">
        <v>11</v>
      </c>
      <c r="N22" s="108" t="s">
        <v>357</v>
      </c>
      <c r="O22" s="161" t="s">
        <v>425</v>
      </c>
      <c r="P22" s="108">
        <v>50000</v>
      </c>
      <c r="Q22" s="155">
        <v>50471</v>
      </c>
      <c r="R22" s="156">
        <v>50</v>
      </c>
      <c r="S22" s="162">
        <v>50</v>
      </c>
    </row>
    <row r="23" spans="1:19">
      <c r="A23" s="118" t="s">
        <v>376</v>
      </c>
      <c r="C23" s="153"/>
      <c r="D23" s="160"/>
      <c r="E23" s="158"/>
      <c r="F23" s="158"/>
      <c r="G23" s="160"/>
      <c r="H23" s="154"/>
      <c r="I23" s="154"/>
      <c r="J23" s="155"/>
      <c r="K23" s="109"/>
      <c r="L23" s="109"/>
      <c r="M23" s="155"/>
      <c r="N23" s="108"/>
      <c r="O23" s="161"/>
      <c r="P23" s="108"/>
      <c r="Q23" s="155"/>
      <c r="R23" s="156"/>
      <c r="S23" s="162"/>
    </row>
    <row r="24" spans="1:19">
      <c r="A24" s="118" t="s">
        <v>381</v>
      </c>
      <c r="C24" s="153"/>
      <c r="D24" s="160"/>
      <c r="E24" s="158"/>
      <c r="F24" s="158"/>
      <c r="G24" s="160"/>
      <c r="H24" s="154"/>
      <c r="I24" s="154"/>
      <c r="J24" s="155"/>
      <c r="K24" s="109"/>
      <c r="L24" s="109"/>
      <c r="M24" s="156"/>
      <c r="N24" s="108"/>
      <c r="O24" s="161"/>
      <c r="P24" s="108"/>
      <c r="Q24" s="155"/>
      <c r="R24" s="156"/>
      <c r="S24" s="162"/>
    </row>
    <row r="25" spans="1:19">
      <c r="A25" s="118" t="s">
        <v>386</v>
      </c>
      <c r="C25" s="107"/>
      <c r="D25" s="108"/>
      <c r="E25" s="108"/>
      <c r="F25" s="114"/>
      <c r="G25" s="108"/>
      <c r="H25" s="109"/>
      <c r="I25" s="109"/>
      <c r="J25" s="109"/>
      <c r="K25" s="109"/>
      <c r="L25" s="109"/>
      <c r="M25" s="109"/>
      <c r="N25" s="108"/>
      <c r="O25" s="109"/>
      <c r="P25" s="108"/>
      <c r="Q25" s="108"/>
      <c r="R25" s="84"/>
      <c r="S25" s="87"/>
    </row>
    <row r="26" spans="1:19">
      <c r="A26" s="118" t="s">
        <v>391</v>
      </c>
      <c r="C26" s="107"/>
      <c r="D26" s="108"/>
      <c r="E26" s="108"/>
      <c r="F26" s="114"/>
      <c r="G26" s="108"/>
      <c r="H26" s="109"/>
      <c r="I26" s="109"/>
      <c r="J26" s="109"/>
      <c r="K26" s="109"/>
      <c r="L26" s="109"/>
      <c r="M26" s="109"/>
      <c r="N26" s="108"/>
      <c r="O26" s="109"/>
      <c r="P26" s="108"/>
      <c r="Q26" s="108"/>
      <c r="R26" s="84"/>
      <c r="S26" s="87"/>
    </row>
    <row r="27" spans="1:19">
      <c r="A27" s="118" t="s">
        <v>396</v>
      </c>
      <c r="C27" s="107"/>
      <c r="D27" s="108"/>
      <c r="E27" s="108"/>
      <c r="F27" s="114"/>
      <c r="G27" s="108"/>
      <c r="H27" s="109"/>
      <c r="I27" s="109"/>
      <c r="J27" s="109"/>
      <c r="K27" s="109"/>
      <c r="L27" s="109"/>
      <c r="M27" s="109"/>
      <c r="N27" s="108"/>
      <c r="O27" s="109"/>
      <c r="P27" s="108"/>
      <c r="Q27" s="108"/>
      <c r="R27" s="84"/>
      <c r="S27" s="87"/>
    </row>
    <row r="28" spans="1:19">
      <c r="A28" s="118" t="s">
        <v>401</v>
      </c>
      <c r="C28" s="107"/>
      <c r="D28" s="108"/>
      <c r="E28" s="108"/>
      <c r="F28" s="114"/>
      <c r="G28" s="108"/>
      <c r="H28" s="109"/>
      <c r="I28" s="109"/>
      <c r="J28" s="109"/>
      <c r="K28" s="109"/>
      <c r="L28" s="109"/>
      <c r="M28" s="109"/>
      <c r="N28" s="108"/>
      <c r="O28" s="109"/>
      <c r="P28" s="108"/>
      <c r="Q28" s="108"/>
      <c r="R28" s="84"/>
      <c r="S28" s="87"/>
    </row>
    <row r="29" spans="1:19">
      <c r="A29" s="118" t="s">
        <v>406</v>
      </c>
      <c r="C29" s="107"/>
      <c r="D29" s="108"/>
      <c r="E29" s="108"/>
      <c r="F29" s="114"/>
      <c r="G29" s="108"/>
      <c r="H29" s="109"/>
      <c r="I29" s="109"/>
      <c r="J29" s="109"/>
      <c r="K29" s="109"/>
      <c r="L29" s="109"/>
      <c r="M29" s="109"/>
      <c r="N29" s="108"/>
      <c r="O29" s="109"/>
      <c r="P29" s="108"/>
      <c r="Q29" s="108"/>
      <c r="R29" s="84"/>
      <c r="S29" s="87"/>
    </row>
    <row r="30" spans="1:19">
      <c r="A30" s="118" t="s">
        <v>411</v>
      </c>
      <c r="C30" s="107"/>
      <c r="D30" s="108"/>
      <c r="E30" s="108"/>
      <c r="F30" s="114"/>
      <c r="G30" s="108"/>
      <c r="H30" s="109"/>
      <c r="I30" s="109"/>
      <c r="J30" s="109"/>
      <c r="K30" s="109"/>
      <c r="L30" s="109"/>
      <c r="M30" s="109"/>
      <c r="N30" s="108"/>
      <c r="O30" s="109"/>
      <c r="P30" s="108"/>
      <c r="Q30" s="108"/>
      <c r="R30" s="84"/>
      <c r="S30" s="87"/>
    </row>
    <row r="31" spans="1:19">
      <c r="A31" s="118" t="s">
        <v>416</v>
      </c>
      <c r="C31" s="107"/>
      <c r="D31" s="108"/>
      <c r="E31" s="108"/>
      <c r="F31" s="114"/>
      <c r="G31" s="108"/>
      <c r="H31" s="109"/>
      <c r="I31" s="109"/>
      <c r="J31" s="109"/>
      <c r="K31" s="109"/>
      <c r="L31" s="109"/>
      <c r="M31" s="109"/>
      <c r="N31" s="108"/>
      <c r="O31" s="109"/>
      <c r="P31" s="108"/>
      <c r="Q31" s="108"/>
      <c r="R31" s="84"/>
      <c r="S31" s="87"/>
    </row>
    <row r="32" spans="1:19">
      <c r="A32" s="118" t="s">
        <v>421</v>
      </c>
      <c r="C32" s="107"/>
      <c r="D32" s="108"/>
      <c r="E32" s="108"/>
      <c r="F32" s="114"/>
      <c r="G32" s="108"/>
      <c r="H32" s="109"/>
      <c r="I32" s="109"/>
      <c r="J32" s="109"/>
      <c r="K32" s="109"/>
      <c r="L32" s="109"/>
      <c r="M32" s="109"/>
      <c r="N32" s="108"/>
      <c r="O32" s="109"/>
      <c r="P32" s="108"/>
      <c r="Q32" s="108"/>
      <c r="R32" s="84"/>
      <c r="S32" s="87"/>
    </row>
    <row r="33" spans="1:19">
      <c r="C33" s="107"/>
      <c r="D33" s="108"/>
      <c r="E33" s="108"/>
      <c r="F33" s="114"/>
      <c r="G33" s="108"/>
      <c r="H33" s="109"/>
      <c r="I33" s="109"/>
      <c r="J33" s="109"/>
      <c r="K33" s="109"/>
      <c r="L33" s="109"/>
      <c r="M33" s="109"/>
      <c r="N33" s="108"/>
      <c r="O33" s="109"/>
      <c r="P33" s="108"/>
      <c r="Q33" s="108"/>
      <c r="R33" s="84"/>
      <c r="S33" s="87"/>
    </row>
    <row r="34" spans="1:19">
      <c r="A34" s="118" t="s">
        <v>360</v>
      </c>
      <c r="C34" s="107"/>
      <c r="D34" s="108"/>
      <c r="E34" s="108"/>
      <c r="F34" s="114"/>
      <c r="G34" s="108"/>
      <c r="H34" s="109"/>
      <c r="I34" s="109"/>
      <c r="J34" s="109"/>
      <c r="K34" s="109"/>
      <c r="L34" s="109"/>
      <c r="M34" s="109"/>
      <c r="N34" s="108"/>
      <c r="O34" s="109"/>
      <c r="P34" s="108"/>
      <c r="Q34" s="108"/>
      <c r="R34" s="84"/>
      <c r="S34" s="87"/>
    </row>
    <row r="35" spans="1:19">
      <c r="A35" s="118" t="s">
        <v>367</v>
      </c>
      <c r="C35" s="107"/>
      <c r="D35" s="108"/>
      <c r="E35" s="108"/>
      <c r="F35" s="114"/>
      <c r="G35" s="108"/>
      <c r="H35" s="109"/>
      <c r="I35" s="109"/>
      <c r="J35" s="109"/>
      <c r="K35" s="109"/>
      <c r="L35" s="109"/>
      <c r="M35" s="109"/>
      <c r="N35" s="108"/>
      <c r="O35" s="109"/>
      <c r="P35" s="108"/>
      <c r="Q35" s="108"/>
      <c r="R35" s="84"/>
      <c r="S35" s="87"/>
    </row>
    <row r="36" spans="1:19">
      <c r="A36" s="118" t="s">
        <v>372</v>
      </c>
      <c r="C36" s="88"/>
      <c r="D36" s="62"/>
      <c r="E36" s="65"/>
      <c r="F36" s="114"/>
      <c r="G36" s="65"/>
      <c r="H36" s="62"/>
      <c r="I36" s="62"/>
      <c r="J36" s="62"/>
      <c r="K36" s="62"/>
      <c r="L36" s="62"/>
      <c r="M36" s="63"/>
      <c r="N36" s="62"/>
      <c r="O36" s="63"/>
      <c r="P36" s="63"/>
      <c r="Q36" s="63"/>
      <c r="R36" s="62"/>
      <c r="S36" s="89"/>
    </row>
    <row r="37" spans="1:19">
      <c r="A37" s="118" t="s">
        <v>377</v>
      </c>
      <c r="C37" s="88"/>
      <c r="D37" s="62"/>
      <c r="E37" s="65"/>
      <c r="F37" s="114"/>
      <c r="G37" s="65"/>
      <c r="H37" s="62"/>
      <c r="I37" s="62"/>
      <c r="J37" s="62"/>
      <c r="K37" s="62"/>
      <c r="L37" s="62"/>
      <c r="M37" s="63"/>
      <c r="N37" s="62"/>
      <c r="O37" s="63"/>
      <c r="P37" s="63"/>
      <c r="Q37" s="63"/>
      <c r="R37" s="62"/>
      <c r="S37" s="89"/>
    </row>
    <row r="38" spans="1:19">
      <c r="A38" s="118" t="s">
        <v>382</v>
      </c>
      <c r="C38" s="88"/>
      <c r="D38" s="62"/>
      <c r="E38" s="65"/>
      <c r="F38" s="114"/>
      <c r="G38" s="65"/>
      <c r="H38" s="62"/>
      <c r="I38" s="62"/>
      <c r="J38" s="62"/>
      <c r="K38" s="62"/>
      <c r="L38" s="62"/>
      <c r="M38" s="63"/>
      <c r="N38" s="62"/>
      <c r="O38" s="63"/>
      <c r="P38" s="63"/>
      <c r="Q38" s="63"/>
      <c r="R38" s="62"/>
      <c r="S38" s="89"/>
    </row>
    <row r="39" spans="1:19">
      <c r="A39" s="118" t="s">
        <v>387</v>
      </c>
      <c r="C39" s="88"/>
      <c r="D39" s="62"/>
      <c r="E39" s="65"/>
      <c r="F39" s="114"/>
      <c r="G39" s="65"/>
      <c r="H39" s="62"/>
      <c r="I39" s="62"/>
      <c r="J39" s="62"/>
      <c r="K39" s="62"/>
      <c r="L39" s="62"/>
      <c r="M39" s="63"/>
      <c r="N39" s="62"/>
      <c r="O39" s="63"/>
      <c r="P39" s="63"/>
      <c r="Q39" s="63"/>
      <c r="R39" s="62"/>
      <c r="S39" s="89"/>
    </row>
    <row r="40" spans="1:19">
      <c r="A40" s="118" t="s">
        <v>392</v>
      </c>
      <c r="C40" s="88"/>
      <c r="D40" s="62"/>
      <c r="E40" s="65"/>
      <c r="F40" s="114"/>
      <c r="G40" s="65"/>
      <c r="H40" s="62"/>
      <c r="I40" s="62"/>
      <c r="J40" s="62"/>
      <c r="K40" s="62"/>
      <c r="L40" s="62"/>
      <c r="M40" s="63"/>
      <c r="N40" s="62"/>
      <c r="O40" s="63"/>
      <c r="P40" s="63"/>
      <c r="Q40" s="63"/>
      <c r="R40" s="62"/>
      <c r="S40" s="89"/>
    </row>
    <row r="41" spans="1:19">
      <c r="A41" s="118" t="s">
        <v>397</v>
      </c>
      <c r="C41" s="88"/>
      <c r="D41" s="62"/>
      <c r="E41" s="65"/>
      <c r="F41" s="114"/>
      <c r="G41" s="65"/>
      <c r="H41" s="62"/>
      <c r="I41" s="62"/>
      <c r="J41" s="62"/>
      <c r="K41" s="62"/>
      <c r="L41" s="62"/>
      <c r="M41" s="63"/>
      <c r="N41" s="62"/>
      <c r="O41" s="63"/>
      <c r="P41" s="63"/>
      <c r="Q41" s="63"/>
      <c r="R41" s="62"/>
      <c r="S41" s="89"/>
    </row>
    <row r="42" spans="1:19">
      <c r="A42" s="118" t="s">
        <v>402</v>
      </c>
      <c r="C42" s="88"/>
      <c r="D42" s="62"/>
      <c r="E42" s="65"/>
      <c r="F42" s="114"/>
      <c r="G42" s="65"/>
      <c r="H42" s="62"/>
      <c r="I42" s="62"/>
      <c r="J42" s="62"/>
      <c r="K42" s="62"/>
      <c r="L42" s="62"/>
      <c r="M42" s="63"/>
      <c r="N42" s="62"/>
      <c r="O42" s="63"/>
      <c r="P42" s="63"/>
      <c r="Q42" s="63"/>
      <c r="R42" s="62"/>
      <c r="S42" s="89"/>
    </row>
    <row r="43" spans="1:19">
      <c r="A43" s="118" t="s">
        <v>407</v>
      </c>
      <c r="C43" s="88"/>
      <c r="D43" s="62"/>
      <c r="E43" s="65"/>
      <c r="F43" s="114"/>
      <c r="G43" s="65"/>
      <c r="H43" s="62"/>
      <c r="I43" s="62"/>
      <c r="J43" s="62"/>
      <c r="K43" s="62"/>
      <c r="L43" s="62"/>
      <c r="M43" s="63"/>
      <c r="N43" s="62"/>
      <c r="O43" s="63"/>
      <c r="P43" s="63"/>
      <c r="Q43" s="63"/>
      <c r="R43" s="62"/>
      <c r="S43" s="89"/>
    </row>
    <row r="44" spans="1:19">
      <c r="A44" s="118" t="s">
        <v>412</v>
      </c>
      <c r="C44" s="88"/>
      <c r="D44" s="62"/>
      <c r="E44" s="62"/>
      <c r="F44" s="114"/>
      <c r="G44" s="62"/>
      <c r="H44" s="62"/>
      <c r="I44" s="62"/>
      <c r="J44" s="62"/>
      <c r="K44" s="62"/>
      <c r="L44" s="62"/>
      <c r="M44" s="63"/>
      <c r="N44" s="62"/>
      <c r="O44" s="62"/>
      <c r="P44" s="62"/>
      <c r="Q44" s="63"/>
      <c r="R44" s="62"/>
      <c r="S44" s="89"/>
    </row>
    <row r="45" spans="1:19">
      <c r="A45" s="118" t="s">
        <v>417</v>
      </c>
      <c r="C45" s="88"/>
      <c r="D45" s="62"/>
      <c r="E45" s="62"/>
      <c r="F45" s="114"/>
      <c r="G45" s="62"/>
      <c r="H45" s="62"/>
      <c r="I45" s="62"/>
      <c r="J45" s="62"/>
      <c r="K45" s="62"/>
      <c r="L45" s="62"/>
      <c r="M45" s="63"/>
      <c r="N45" s="62"/>
      <c r="O45" s="62"/>
      <c r="P45" s="62"/>
      <c r="Q45" s="63"/>
      <c r="R45" s="62"/>
      <c r="S45" s="89"/>
    </row>
    <row r="46" spans="1:19">
      <c r="A46" s="118" t="s">
        <v>422</v>
      </c>
      <c r="C46" s="88"/>
      <c r="D46" s="62"/>
      <c r="E46" s="65"/>
      <c r="F46" s="114"/>
      <c r="G46" s="65"/>
      <c r="H46" s="62"/>
      <c r="I46" s="62"/>
      <c r="J46" s="62"/>
      <c r="K46" s="62"/>
      <c r="L46" s="62"/>
      <c r="M46" s="63"/>
      <c r="N46" s="62"/>
      <c r="O46" s="63"/>
      <c r="P46" s="63"/>
      <c r="Q46" s="63"/>
      <c r="R46" s="62"/>
      <c r="S46" s="89"/>
    </row>
    <row r="47" spans="1:19">
      <c r="C47" s="88"/>
      <c r="D47" s="62"/>
      <c r="E47" s="65"/>
      <c r="F47" s="114"/>
      <c r="G47" s="65"/>
      <c r="H47" s="62"/>
      <c r="I47" s="62"/>
      <c r="J47" s="62"/>
      <c r="K47" s="62"/>
      <c r="L47" s="62"/>
      <c r="M47" s="63"/>
      <c r="N47" s="62"/>
      <c r="O47" s="63"/>
      <c r="P47" s="63"/>
      <c r="Q47" s="63"/>
      <c r="R47" s="62"/>
      <c r="S47" s="89"/>
    </row>
    <row r="48" spans="1:19">
      <c r="A48" s="118" t="s">
        <v>361</v>
      </c>
      <c r="C48" s="88"/>
      <c r="D48" s="62"/>
      <c r="E48" s="65"/>
      <c r="F48" s="114"/>
      <c r="G48" s="65"/>
      <c r="H48" s="62"/>
      <c r="I48" s="62"/>
      <c r="J48" s="62"/>
      <c r="K48" s="62"/>
      <c r="L48" s="62"/>
      <c r="M48" s="63"/>
      <c r="N48" s="62"/>
      <c r="O48" s="63"/>
      <c r="P48" s="63"/>
      <c r="Q48" s="63"/>
      <c r="R48" s="62"/>
      <c r="S48" s="89"/>
    </row>
    <row r="49" spans="1:19">
      <c r="A49" s="118" t="s">
        <v>426</v>
      </c>
      <c r="C49" s="88"/>
      <c r="D49" s="62"/>
      <c r="E49" s="65"/>
      <c r="F49" s="114"/>
      <c r="G49" s="65"/>
      <c r="H49" s="62"/>
      <c r="I49" s="62"/>
      <c r="J49" s="62"/>
      <c r="K49" s="62"/>
      <c r="L49" s="62"/>
      <c r="M49" s="63"/>
      <c r="N49" s="62"/>
      <c r="O49" s="63"/>
      <c r="P49" s="63"/>
      <c r="Q49" s="63"/>
      <c r="R49" s="62"/>
      <c r="S49" s="89"/>
    </row>
    <row r="50" spans="1:19">
      <c r="A50" s="118" t="s">
        <v>428</v>
      </c>
      <c r="C50" s="88"/>
      <c r="D50" s="62"/>
      <c r="E50" s="65"/>
      <c r="F50" s="114"/>
      <c r="G50" s="65"/>
      <c r="H50" s="62"/>
      <c r="I50" s="62"/>
      <c r="J50" s="62"/>
      <c r="K50" s="62"/>
      <c r="L50" s="62"/>
      <c r="M50" s="63"/>
      <c r="N50" s="62"/>
      <c r="O50" s="63"/>
      <c r="P50" s="63"/>
      <c r="Q50" s="63"/>
      <c r="R50" s="62"/>
      <c r="S50" s="89"/>
    </row>
    <row r="51" spans="1:19">
      <c r="A51" s="118" t="s">
        <v>430</v>
      </c>
      <c r="C51" s="88"/>
      <c r="D51" s="62"/>
      <c r="E51" s="65"/>
      <c r="F51" s="114"/>
      <c r="G51" s="65"/>
      <c r="H51" s="62"/>
      <c r="I51" s="62"/>
      <c r="J51" s="62"/>
      <c r="K51" s="62"/>
      <c r="L51" s="62"/>
      <c r="M51" s="63"/>
      <c r="N51" s="62"/>
      <c r="O51" s="63"/>
      <c r="P51" s="63"/>
      <c r="Q51" s="63"/>
      <c r="R51" s="62"/>
      <c r="S51" s="89"/>
    </row>
    <row r="52" spans="1:19">
      <c r="A52" s="118" t="s">
        <v>432</v>
      </c>
      <c r="C52" s="88"/>
      <c r="D52" s="62"/>
      <c r="E52" s="65"/>
      <c r="F52" s="114"/>
      <c r="G52" s="65"/>
      <c r="H52" s="62"/>
      <c r="I52" s="62"/>
      <c r="J52" s="62"/>
      <c r="K52" s="62"/>
      <c r="L52" s="62"/>
      <c r="M52" s="63"/>
      <c r="N52" s="62"/>
      <c r="O52" s="63"/>
      <c r="P52" s="63"/>
      <c r="Q52" s="63"/>
      <c r="R52" s="62"/>
      <c r="S52" s="89"/>
    </row>
    <row r="53" spans="1:19">
      <c r="A53" s="118" t="s">
        <v>434</v>
      </c>
      <c r="C53" s="88"/>
      <c r="D53" s="62"/>
      <c r="E53" s="65"/>
      <c r="F53" s="114"/>
      <c r="G53" s="65"/>
      <c r="H53" s="62"/>
      <c r="I53" s="62"/>
      <c r="J53" s="62"/>
      <c r="K53" s="62"/>
      <c r="L53" s="62"/>
      <c r="M53" s="63"/>
      <c r="N53" s="62"/>
      <c r="O53" s="63"/>
      <c r="P53" s="63"/>
      <c r="Q53" s="63"/>
      <c r="R53" s="62"/>
      <c r="S53" s="89"/>
    </row>
    <row r="54" spans="1:19">
      <c r="A54" s="118" t="s">
        <v>436</v>
      </c>
      <c r="C54" s="88"/>
      <c r="D54" s="62"/>
      <c r="E54" s="62"/>
      <c r="F54" s="114"/>
      <c r="G54" s="62"/>
      <c r="H54" s="62"/>
      <c r="I54" s="62"/>
      <c r="J54" s="62"/>
      <c r="K54" s="62"/>
      <c r="L54" s="62"/>
      <c r="M54" s="63"/>
      <c r="N54" s="62"/>
      <c r="O54" s="62"/>
      <c r="P54" s="62"/>
      <c r="Q54" s="63"/>
      <c r="R54" s="62"/>
      <c r="S54" s="89"/>
    </row>
    <row r="55" spans="1:19">
      <c r="A55" s="118" t="s">
        <v>438</v>
      </c>
      <c r="C55" s="88"/>
      <c r="D55" s="62"/>
      <c r="E55" s="62"/>
      <c r="F55" s="114"/>
      <c r="G55" s="62"/>
      <c r="H55" s="62"/>
      <c r="I55" s="62"/>
      <c r="J55" s="62"/>
      <c r="K55" s="62"/>
      <c r="L55" s="62"/>
      <c r="M55" s="63"/>
      <c r="N55" s="62"/>
      <c r="O55" s="62"/>
      <c r="P55" s="62"/>
      <c r="Q55" s="63"/>
      <c r="R55" s="62"/>
      <c r="S55" s="89"/>
    </row>
    <row r="56" spans="1:19">
      <c r="A56" s="118" t="s">
        <v>440</v>
      </c>
      <c r="C56" s="88"/>
      <c r="D56" s="62"/>
      <c r="E56" s="62"/>
      <c r="F56" s="114"/>
      <c r="G56" s="62"/>
      <c r="H56" s="62"/>
      <c r="I56" s="62"/>
      <c r="J56" s="62"/>
      <c r="K56" s="62"/>
      <c r="L56" s="62"/>
      <c r="M56" s="63"/>
      <c r="N56" s="62"/>
      <c r="O56" s="62"/>
      <c r="P56" s="62"/>
      <c r="Q56" s="63"/>
      <c r="R56" s="62"/>
      <c r="S56" s="89"/>
    </row>
    <row r="57" spans="1:19">
      <c r="A57" s="118" t="s">
        <v>442</v>
      </c>
      <c r="C57" s="88"/>
      <c r="D57" s="62"/>
      <c r="E57" s="62"/>
      <c r="F57" s="114"/>
      <c r="G57" s="62"/>
      <c r="H57" s="62"/>
      <c r="I57" s="62"/>
      <c r="J57" s="62"/>
      <c r="K57" s="62"/>
      <c r="L57" s="62"/>
      <c r="M57" s="63"/>
      <c r="N57" s="62"/>
      <c r="O57" s="62"/>
      <c r="P57" s="62"/>
      <c r="Q57" s="63"/>
      <c r="R57" s="62"/>
      <c r="S57" s="89"/>
    </row>
    <row r="58" spans="1:19">
      <c r="A58" s="118" t="s">
        <v>444</v>
      </c>
      <c r="C58" s="88"/>
      <c r="D58" s="62"/>
      <c r="E58" s="62"/>
      <c r="F58" s="114"/>
      <c r="G58" s="62"/>
      <c r="H58" s="62"/>
      <c r="I58" s="62"/>
      <c r="J58" s="62"/>
      <c r="K58" s="62"/>
      <c r="L58" s="62"/>
      <c r="M58" s="63"/>
      <c r="N58" s="62"/>
      <c r="O58" s="62"/>
      <c r="P58" s="62"/>
      <c r="Q58" s="63"/>
      <c r="R58" s="62"/>
      <c r="S58" s="89"/>
    </row>
    <row r="59" spans="1:19">
      <c r="A59" s="118" t="s">
        <v>446</v>
      </c>
      <c r="C59" s="88"/>
      <c r="D59" s="62"/>
      <c r="E59" s="62"/>
      <c r="F59" s="114"/>
      <c r="G59" s="62"/>
      <c r="H59" s="62"/>
      <c r="I59" s="62"/>
      <c r="J59" s="62"/>
      <c r="K59" s="62"/>
      <c r="L59" s="62"/>
      <c r="M59" s="63"/>
      <c r="N59" s="62"/>
      <c r="O59" s="62"/>
      <c r="P59" s="62"/>
      <c r="Q59" s="63"/>
      <c r="R59" s="62"/>
      <c r="S59" s="89"/>
    </row>
    <row r="60" spans="1:19">
      <c r="A60" s="118" t="s">
        <v>448</v>
      </c>
      <c r="C60" s="88"/>
      <c r="D60" s="62"/>
      <c r="E60" s="62"/>
      <c r="F60" s="114"/>
      <c r="G60" s="62"/>
      <c r="H60" s="62"/>
      <c r="I60" s="62"/>
      <c r="J60" s="62"/>
      <c r="K60" s="62"/>
      <c r="L60" s="62"/>
      <c r="M60" s="63"/>
      <c r="N60" s="62"/>
      <c r="O60" s="62"/>
      <c r="P60" s="62"/>
      <c r="Q60" s="63"/>
      <c r="R60" s="62"/>
      <c r="S60" s="89"/>
    </row>
    <row r="61" spans="1:19">
      <c r="C61" s="88"/>
      <c r="D61" s="62"/>
      <c r="E61" s="62"/>
      <c r="F61" s="114"/>
      <c r="G61" s="62"/>
      <c r="H61" s="62"/>
      <c r="I61" s="62"/>
      <c r="J61" s="62"/>
      <c r="K61" s="62"/>
      <c r="L61" s="62"/>
      <c r="M61" s="63"/>
      <c r="N61" s="62"/>
      <c r="O61" s="62"/>
      <c r="P61" s="62"/>
      <c r="Q61" s="63"/>
      <c r="R61" s="62"/>
      <c r="S61" s="89"/>
    </row>
    <row r="62" spans="1:19">
      <c r="A62" s="118" t="s">
        <v>362</v>
      </c>
      <c r="C62" s="88"/>
      <c r="D62" s="62"/>
      <c r="E62" s="62"/>
      <c r="F62" s="114"/>
      <c r="G62" s="62"/>
      <c r="H62" s="62"/>
      <c r="I62" s="62"/>
      <c r="J62" s="62"/>
      <c r="K62" s="62"/>
      <c r="L62" s="62"/>
      <c r="M62" s="63"/>
      <c r="N62" s="62"/>
      <c r="O62" s="62"/>
      <c r="P62" s="62"/>
      <c r="Q62" s="63"/>
      <c r="R62" s="62"/>
      <c r="S62" s="89"/>
    </row>
    <row r="63" spans="1:19">
      <c r="A63" s="118" t="s">
        <v>368</v>
      </c>
      <c r="C63" s="88"/>
      <c r="D63" s="62"/>
      <c r="E63" s="62"/>
      <c r="F63" s="114"/>
      <c r="G63" s="62"/>
      <c r="H63" s="62"/>
      <c r="I63" s="62"/>
      <c r="J63" s="62"/>
      <c r="K63" s="62"/>
      <c r="L63" s="62"/>
      <c r="M63" s="63"/>
      <c r="N63" s="62"/>
      <c r="O63" s="62"/>
      <c r="P63" s="62"/>
      <c r="Q63" s="63"/>
      <c r="R63" s="62"/>
      <c r="S63" s="89"/>
    </row>
    <row r="64" spans="1:19">
      <c r="A64" s="118" t="s">
        <v>373</v>
      </c>
      <c r="C64" s="88"/>
      <c r="D64" s="62"/>
      <c r="E64" s="62"/>
      <c r="F64" s="114"/>
      <c r="G64" s="62"/>
      <c r="H64" s="62"/>
      <c r="I64" s="62"/>
      <c r="J64" s="62"/>
      <c r="K64" s="62"/>
      <c r="L64" s="62"/>
      <c r="M64" s="63"/>
      <c r="N64" s="62"/>
      <c r="O64" s="62"/>
      <c r="P64" s="62"/>
      <c r="Q64" s="63"/>
      <c r="R64" s="62"/>
      <c r="S64" s="89"/>
    </row>
    <row r="65" spans="1:19">
      <c r="A65" s="118" t="s">
        <v>378</v>
      </c>
      <c r="C65" s="88"/>
      <c r="D65" s="62"/>
      <c r="E65" s="62"/>
      <c r="F65" s="114"/>
      <c r="G65" s="62"/>
      <c r="H65" s="62"/>
      <c r="I65" s="62"/>
      <c r="J65" s="62"/>
      <c r="K65" s="62"/>
      <c r="L65" s="62"/>
      <c r="M65" s="63"/>
      <c r="N65" s="62"/>
      <c r="O65" s="62"/>
      <c r="P65" s="62"/>
      <c r="Q65" s="63"/>
      <c r="R65" s="62"/>
      <c r="S65" s="89"/>
    </row>
    <row r="66" spans="1:19">
      <c r="A66" s="118" t="s">
        <v>383</v>
      </c>
      <c r="C66" s="88"/>
      <c r="D66" s="62"/>
      <c r="E66" s="62"/>
      <c r="F66" s="114"/>
      <c r="G66" s="62"/>
      <c r="H66" s="62"/>
      <c r="I66" s="62"/>
      <c r="J66" s="62"/>
      <c r="K66" s="62"/>
      <c r="L66" s="62"/>
      <c r="M66" s="63"/>
      <c r="N66" s="62"/>
      <c r="O66" s="62"/>
      <c r="P66" s="62"/>
      <c r="Q66" s="63"/>
      <c r="R66" s="62"/>
      <c r="S66" s="89"/>
    </row>
    <row r="67" spans="1:19">
      <c r="A67" s="118" t="s">
        <v>388</v>
      </c>
      <c r="C67" s="88"/>
      <c r="D67" s="62"/>
      <c r="E67" s="62"/>
      <c r="F67" s="114"/>
      <c r="G67" s="62"/>
      <c r="H67" s="62"/>
      <c r="I67" s="62"/>
      <c r="J67" s="62"/>
      <c r="K67" s="62"/>
      <c r="L67" s="62"/>
      <c r="M67" s="63"/>
      <c r="N67" s="62"/>
      <c r="O67" s="62"/>
      <c r="P67" s="62"/>
      <c r="Q67" s="63"/>
      <c r="R67" s="62"/>
      <c r="S67" s="89"/>
    </row>
    <row r="68" spans="1:19">
      <c r="A68" s="118" t="s">
        <v>393</v>
      </c>
      <c r="C68" s="88"/>
      <c r="D68" s="62"/>
      <c r="E68" s="62"/>
      <c r="F68" s="114"/>
      <c r="G68" s="62"/>
      <c r="H68" s="62"/>
      <c r="I68" s="62"/>
      <c r="J68" s="62"/>
      <c r="K68" s="62"/>
      <c r="L68" s="62"/>
      <c r="M68" s="63"/>
      <c r="N68" s="62"/>
      <c r="O68" s="62"/>
      <c r="P68" s="62"/>
      <c r="Q68" s="63"/>
      <c r="R68" s="62"/>
      <c r="S68" s="89"/>
    </row>
    <row r="69" spans="1:19">
      <c r="A69" s="118" t="s">
        <v>398</v>
      </c>
      <c r="C69" s="88"/>
      <c r="D69" s="62"/>
      <c r="E69" s="62"/>
      <c r="F69" s="114"/>
      <c r="G69" s="62"/>
      <c r="H69" s="62"/>
      <c r="I69" s="62"/>
      <c r="J69" s="62"/>
      <c r="K69" s="62"/>
      <c r="L69" s="62"/>
      <c r="M69" s="63"/>
      <c r="N69" s="62"/>
      <c r="O69" s="62"/>
      <c r="P69" s="62"/>
      <c r="Q69" s="63"/>
      <c r="R69" s="62"/>
      <c r="S69" s="89"/>
    </row>
    <row r="70" spans="1:19">
      <c r="A70" s="118" t="s">
        <v>403</v>
      </c>
      <c r="C70" s="88"/>
      <c r="D70" s="62"/>
      <c r="E70" s="62"/>
      <c r="F70" s="114"/>
      <c r="G70" s="62"/>
      <c r="H70" s="62"/>
      <c r="I70" s="62"/>
      <c r="J70" s="62"/>
      <c r="K70" s="62"/>
      <c r="L70" s="62"/>
      <c r="M70" s="63"/>
      <c r="N70" s="62"/>
      <c r="O70" s="62"/>
      <c r="P70" s="62"/>
      <c r="Q70" s="63"/>
      <c r="R70" s="62"/>
      <c r="S70" s="89"/>
    </row>
    <row r="71" spans="1:19">
      <c r="A71" s="118" t="s">
        <v>408</v>
      </c>
      <c r="C71" s="88"/>
      <c r="D71" s="62"/>
      <c r="E71" s="62"/>
      <c r="F71" s="114"/>
      <c r="G71" s="62"/>
      <c r="H71" s="62"/>
      <c r="I71" s="62"/>
      <c r="J71" s="62"/>
      <c r="K71" s="62"/>
      <c r="L71" s="62"/>
      <c r="M71" s="63"/>
      <c r="N71" s="62"/>
      <c r="O71" s="62"/>
      <c r="P71" s="62"/>
      <c r="Q71" s="63"/>
      <c r="R71" s="62"/>
      <c r="S71" s="89"/>
    </row>
    <row r="72" spans="1:19">
      <c r="A72" s="118" t="s">
        <v>413</v>
      </c>
      <c r="C72" s="88"/>
      <c r="D72" s="62"/>
      <c r="E72" s="62"/>
      <c r="F72" s="114"/>
      <c r="G72" s="62"/>
      <c r="H72" s="62"/>
      <c r="I72" s="62"/>
      <c r="J72" s="62"/>
      <c r="K72" s="62"/>
      <c r="L72" s="62"/>
      <c r="M72" s="63"/>
      <c r="N72" s="62"/>
      <c r="O72" s="62"/>
      <c r="P72" s="62"/>
      <c r="Q72" s="63"/>
      <c r="R72" s="62"/>
      <c r="S72" s="89"/>
    </row>
    <row r="73" spans="1:19">
      <c r="A73" s="118" t="s">
        <v>418</v>
      </c>
      <c r="C73" s="88"/>
      <c r="D73" s="62"/>
      <c r="E73" s="62"/>
      <c r="F73" s="114"/>
      <c r="G73" s="62"/>
      <c r="H73" s="62"/>
      <c r="I73" s="62"/>
      <c r="J73" s="62"/>
      <c r="K73" s="62"/>
      <c r="L73" s="62"/>
      <c r="M73" s="63"/>
      <c r="N73" s="62"/>
      <c r="O73" s="62"/>
      <c r="P73" s="62"/>
      <c r="Q73" s="63"/>
      <c r="R73" s="62"/>
      <c r="S73" s="89"/>
    </row>
    <row r="74" spans="1:19">
      <c r="A74" s="118" t="s">
        <v>423</v>
      </c>
      <c r="C74" s="88"/>
      <c r="D74" s="62"/>
      <c r="E74" s="62"/>
      <c r="F74" s="114"/>
      <c r="G74" s="62"/>
      <c r="H74" s="62"/>
      <c r="I74" s="62"/>
      <c r="J74" s="62"/>
      <c r="K74" s="62"/>
      <c r="L74" s="62"/>
      <c r="M74" s="63"/>
      <c r="N74" s="62"/>
      <c r="O74" s="62"/>
      <c r="P74" s="62"/>
      <c r="Q74" s="63"/>
      <c r="R74" s="62"/>
      <c r="S74" s="89"/>
    </row>
    <row r="75" spans="1:19">
      <c r="C75" s="88"/>
      <c r="D75" s="62"/>
      <c r="E75" s="62"/>
      <c r="F75" s="114"/>
      <c r="G75" s="62"/>
      <c r="H75" s="62"/>
      <c r="I75" s="62"/>
      <c r="J75" s="62"/>
      <c r="K75" s="62"/>
      <c r="L75" s="62"/>
      <c r="M75" s="63"/>
      <c r="N75" s="62"/>
      <c r="O75" s="62"/>
      <c r="P75" s="62"/>
      <c r="Q75" s="63"/>
      <c r="R75" s="62"/>
      <c r="S75" s="89"/>
    </row>
    <row r="76" spans="1:19">
      <c r="A76" s="118" t="s">
        <v>363</v>
      </c>
      <c r="C76" s="88"/>
      <c r="D76" s="62"/>
      <c r="E76" s="62"/>
      <c r="F76" s="114"/>
      <c r="G76" s="62"/>
      <c r="H76" s="62"/>
      <c r="I76" s="62"/>
      <c r="J76" s="62"/>
      <c r="K76" s="62"/>
      <c r="L76" s="62"/>
      <c r="M76" s="63"/>
      <c r="N76" s="62"/>
      <c r="O76" s="62"/>
      <c r="P76" s="62"/>
      <c r="Q76" s="63"/>
      <c r="R76" s="62"/>
      <c r="S76" s="89"/>
    </row>
    <row r="77" spans="1:19" s="8" customFormat="1">
      <c r="A77" s="118" t="s">
        <v>427</v>
      </c>
      <c r="C77" s="88"/>
      <c r="D77" s="62"/>
      <c r="E77" s="62"/>
      <c r="F77" s="114"/>
      <c r="G77" s="62"/>
      <c r="H77" s="62"/>
      <c r="I77" s="62"/>
      <c r="J77" s="62"/>
      <c r="K77" s="62"/>
      <c r="L77" s="62"/>
      <c r="M77" s="63"/>
      <c r="N77" s="62"/>
      <c r="O77" s="62"/>
      <c r="P77" s="62"/>
      <c r="Q77" s="63"/>
      <c r="R77" s="62"/>
      <c r="S77" s="89"/>
    </row>
    <row r="78" spans="1:19">
      <c r="A78" s="118" t="s">
        <v>429</v>
      </c>
      <c r="C78" s="88"/>
      <c r="D78" s="62"/>
      <c r="E78" s="62"/>
      <c r="F78" s="114"/>
      <c r="G78" s="62"/>
      <c r="H78" s="62"/>
      <c r="I78" s="62"/>
      <c r="J78" s="62"/>
      <c r="K78" s="62"/>
      <c r="L78" s="62"/>
      <c r="M78" s="63"/>
      <c r="N78" s="62"/>
      <c r="O78" s="62"/>
      <c r="P78" s="62"/>
      <c r="Q78" s="63"/>
      <c r="R78" s="62"/>
      <c r="S78" s="89"/>
    </row>
    <row r="79" spans="1:19">
      <c r="A79" s="118" t="s">
        <v>431</v>
      </c>
      <c r="C79" s="88"/>
      <c r="D79" s="62"/>
      <c r="E79" s="62"/>
      <c r="F79" s="114"/>
      <c r="G79" s="62"/>
      <c r="H79" s="62"/>
      <c r="I79" s="62"/>
      <c r="J79" s="62"/>
      <c r="K79" s="62"/>
      <c r="L79" s="62"/>
      <c r="M79" s="63"/>
      <c r="N79" s="62"/>
      <c r="O79" s="62"/>
      <c r="P79" s="62"/>
      <c r="Q79" s="63"/>
      <c r="R79" s="62"/>
      <c r="S79" s="89"/>
    </row>
    <row r="80" spans="1:19">
      <c r="A80" s="118" t="s">
        <v>433</v>
      </c>
      <c r="C80" s="88"/>
      <c r="D80" s="62"/>
      <c r="E80" s="62"/>
      <c r="F80" s="114"/>
      <c r="G80" s="62"/>
      <c r="H80" s="62"/>
      <c r="I80" s="62"/>
      <c r="J80" s="62"/>
      <c r="K80" s="62"/>
      <c r="L80" s="62"/>
      <c r="M80" s="63"/>
      <c r="N80" s="62"/>
      <c r="O80" s="62"/>
      <c r="P80" s="62"/>
      <c r="Q80" s="63"/>
      <c r="R80" s="62"/>
      <c r="S80" s="89"/>
    </row>
    <row r="81" spans="1:19">
      <c r="A81" s="118" t="s">
        <v>435</v>
      </c>
      <c r="C81" s="88"/>
      <c r="D81" s="62"/>
      <c r="E81" s="62"/>
      <c r="F81" s="114"/>
      <c r="G81" s="62"/>
      <c r="H81" s="62"/>
      <c r="I81" s="62"/>
      <c r="J81" s="62"/>
      <c r="K81" s="62"/>
      <c r="L81" s="62"/>
      <c r="M81" s="63"/>
      <c r="N81" s="62"/>
      <c r="O81" s="62"/>
      <c r="P81" s="62"/>
      <c r="Q81" s="63"/>
      <c r="R81" s="62"/>
      <c r="S81" s="89"/>
    </row>
    <row r="82" spans="1:19">
      <c r="A82" s="118" t="s">
        <v>437</v>
      </c>
      <c r="C82" s="88"/>
      <c r="D82" s="62"/>
      <c r="E82" s="62"/>
      <c r="F82" s="114"/>
      <c r="G82" s="62"/>
      <c r="H82" s="62"/>
      <c r="I82" s="62"/>
      <c r="J82" s="62"/>
      <c r="K82" s="62"/>
      <c r="L82" s="62"/>
      <c r="M82" s="63"/>
      <c r="N82" s="62"/>
      <c r="O82" s="62"/>
      <c r="P82" s="62"/>
      <c r="Q82" s="63"/>
      <c r="R82" s="62"/>
      <c r="S82" s="89"/>
    </row>
    <row r="83" spans="1:19">
      <c r="A83" s="118" t="s">
        <v>439</v>
      </c>
      <c r="C83" s="88"/>
      <c r="D83" s="62"/>
      <c r="E83" s="62"/>
      <c r="F83" s="114"/>
      <c r="G83" s="62"/>
      <c r="H83" s="62"/>
      <c r="I83" s="62"/>
      <c r="J83" s="62"/>
      <c r="K83" s="62"/>
      <c r="L83" s="62"/>
      <c r="M83" s="63"/>
      <c r="N83" s="62"/>
      <c r="O83" s="62"/>
      <c r="P83" s="62"/>
      <c r="Q83" s="63"/>
      <c r="R83" s="62"/>
      <c r="S83" s="89"/>
    </row>
    <row r="84" spans="1:19">
      <c r="A84" s="118" t="s">
        <v>441</v>
      </c>
      <c r="C84" s="88"/>
      <c r="D84" s="62"/>
      <c r="E84" s="62"/>
      <c r="F84" s="114"/>
      <c r="G84" s="62"/>
      <c r="H84" s="62"/>
      <c r="I84" s="62"/>
      <c r="J84" s="62"/>
      <c r="K84" s="62"/>
      <c r="L84" s="62"/>
      <c r="M84" s="63"/>
      <c r="N84" s="62"/>
      <c r="O84" s="62"/>
      <c r="P84" s="62"/>
      <c r="Q84" s="63"/>
      <c r="R84" s="62"/>
      <c r="S84" s="89"/>
    </row>
    <row r="85" spans="1:19" s="8" customFormat="1">
      <c r="A85" s="118" t="s">
        <v>443</v>
      </c>
      <c r="C85" s="88"/>
      <c r="D85" s="62"/>
      <c r="E85" s="62"/>
      <c r="F85" s="114"/>
      <c r="G85" s="62"/>
      <c r="H85" s="62"/>
      <c r="I85" s="62"/>
      <c r="J85" s="62"/>
      <c r="K85" s="62"/>
      <c r="L85" s="62"/>
      <c r="M85" s="63"/>
      <c r="N85" s="62"/>
      <c r="O85" s="62"/>
      <c r="P85" s="62"/>
      <c r="Q85" s="63"/>
      <c r="R85" s="62"/>
      <c r="S85" s="89"/>
    </row>
    <row r="86" spans="1:19">
      <c r="A86" s="118" t="s">
        <v>445</v>
      </c>
      <c r="C86" s="88"/>
      <c r="D86" s="62"/>
      <c r="E86" s="62"/>
      <c r="F86" s="114"/>
      <c r="G86" s="62"/>
      <c r="H86" s="62"/>
      <c r="I86" s="62"/>
      <c r="J86" s="62"/>
      <c r="K86" s="62"/>
      <c r="L86" s="62"/>
      <c r="M86" s="63"/>
      <c r="N86" s="62"/>
      <c r="O86" s="62"/>
      <c r="P86" s="62"/>
      <c r="Q86" s="63"/>
      <c r="R86" s="62"/>
      <c r="S86" s="89"/>
    </row>
    <row r="87" spans="1:19" s="8" customFormat="1">
      <c r="A87" s="118" t="s">
        <v>447</v>
      </c>
      <c r="C87" s="88"/>
      <c r="D87" s="62"/>
      <c r="E87" s="62"/>
      <c r="F87" s="114"/>
      <c r="G87" s="62"/>
      <c r="H87" s="62"/>
      <c r="I87" s="62"/>
      <c r="J87" s="62"/>
      <c r="K87" s="62"/>
      <c r="L87" s="62"/>
      <c r="M87" s="63"/>
      <c r="N87" s="62"/>
      <c r="O87" s="62"/>
      <c r="P87" s="62"/>
      <c r="Q87" s="63"/>
      <c r="R87" s="62"/>
      <c r="S87" s="89"/>
    </row>
    <row r="88" spans="1:19" s="8" customFormat="1">
      <c r="A88" s="118" t="s">
        <v>449</v>
      </c>
      <c r="C88" s="88"/>
      <c r="D88" s="62"/>
      <c r="E88" s="62"/>
      <c r="F88" s="114"/>
      <c r="G88" s="62"/>
      <c r="H88" s="62"/>
      <c r="I88" s="62"/>
      <c r="J88" s="62"/>
      <c r="K88" s="62"/>
      <c r="L88" s="62"/>
      <c r="M88" s="63"/>
      <c r="N88" s="62"/>
      <c r="O88" s="62"/>
      <c r="P88" s="62"/>
      <c r="Q88" s="63"/>
      <c r="R88" s="62"/>
      <c r="S88" s="89"/>
    </row>
    <row r="89" spans="1:19" s="8" customFormat="1">
      <c r="A89" s="118"/>
      <c r="C89" s="88"/>
      <c r="D89" s="62"/>
      <c r="E89" s="62"/>
      <c r="F89" s="114"/>
      <c r="G89" s="62"/>
      <c r="H89" s="62"/>
      <c r="I89" s="62"/>
      <c r="J89" s="62"/>
      <c r="K89" s="62"/>
      <c r="L89" s="62"/>
      <c r="M89" s="63"/>
      <c r="N89" s="62"/>
      <c r="O89" s="62"/>
      <c r="P89" s="62"/>
      <c r="Q89" s="63"/>
      <c r="R89" s="62"/>
      <c r="S89" s="89"/>
    </row>
    <row r="90" spans="1:19" s="8" customFormat="1">
      <c r="A90" s="118" t="s">
        <v>364</v>
      </c>
      <c r="C90" s="88"/>
      <c r="D90" s="62"/>
      <c r="E90" s="62"/>
      <c r="F90" s="114"/>
      <c r="G90" s="62"/>
      <c r="H90" s="62"/>
      <c r="I90" s="62"/>
      <c r="J90" s="62"/>
      <c r="K90" s="62"/>
      <c r="L90" s="62"/>
      <c r="M90" s="63"/>
      <c r="N90" s="62"/>
      <c r="O90" s="62"/>
      <c r="P90" s="62"/>
      <c r="Q90" s="63"/>
      <c r="R90" s="62"/>
      <c r="S90" s="89"/>
    </row>
    <row r="91" spans="1:19" s="8" customFormat="1">
      <c r="A91" s="118" t="s">
        <v>369</v>
      </c>
      <c r="C91" s="88"/>
      <c r="D91" s="62"/>
      <c r="E91" s="62"/>
      <c r="F91" s="114"/>
      <c r="G91" s="62"/>
      <c r="H91" s="62"/>
      <c r="I91" s="62"/>
      <c r="J91" s="62"/>
      <c r="K91" s="62"/>
      <c r="L91" s="62"/>
      <c r="M91" s="63"/>
      <c r="N91" s="62"/>
      <c r="O91" s="62"/>
      <c r="P91" s="62"/>
      <c r="Q91" s="63"/>
      <c r="R91" s="62"/>
      <c r="S91" s="89"/>
    </row>
    <row r="92" spans="1:19" s="8" customFormat="1">
      <c r="A92" s="118" t="s">
        <v>374</v>
      </c>
      <c r="C92" s="88"/>
      <c r="D92" s="62"/>
      <c r="E92" s="62"/>
      <c r="F92" s="114"/>
      <c r="G92" s="62"/>
      <c r="H92" s="62"/>
      <c r="I92" s="62"/>
      <c r="J92" s="62"/>
      <c r="K92" s="62"/>
      <c r="L92" s="62"/>
      <c r="M92" s="63"/>
      <c r="N92" s="62"/>
      <c r="O92" s="62"/>
      <c r="P92" s="62"/>
      <c r="Q92" s="63"/>
      <c r="R92" s="62"/>
      <c r="S92" s="89"/>
    </row>
    <row r="93" spans="1:19" s="8" customFormat="1">
      <c r="A93" s="118" t="s">
        <v>379</v>
      </c>
      <c r="C93" s="88"/>
      <c r="D93" s="62"/>
      <c r="E93" s="62"/>
      <c r="F93" s="114"/>
      <c r="G93" s="62"/>
      <c r="H93" s="62"/>
      <c r="I93" s="62"/>
      <c r="J93" s="62"/>
      <c r="K93" s="62"/>
      <c r="L93" s="62"/>
      <c r="M93" s="63"/>
      <c r="N93" s="62"/>
      <c r="O93" s="62"/>
      <c r="P93" s="62"/>
      <c r="Q93" s="63"/>
      <c r="R93" s="62"/>
      <c r="S93" s="89"/>
    </row>
    <row r="94" spans="1:19" s="8" customFormat="1">
      <c r="A94" s="118" t="s">
        <v>384</v>
      </c>
      <c r="C94" s="88"/>
      <c r="D94" s="62"/>
      <c r="E94" s="62"/>
      <c r="F94" s="114"/>
      <c r="G94" s="62"/>
      <c r="H94" s="62"/>
      <c r="I94" s="62"/>
      <c r="J94" s="62"/>
      <c r="K94" s="62"/>
      <c r="L94" s="62"/>
      <c r="M94" s="63"/>
      <c r="N94" s="62"/>
      <c r="O94" s="62"/>
      <c r="P94" s="62"/>
      <c r="Q94" s="63"/>
      <c r="R94" s="62"/>
      <c r="S94" s="89"/>
    </row>
    <row r="95" spans="1:19" s="8" customFormat="1">
      <c r="A95" s="118" t="s">
        <v>389</v>
      </c>
      <c r="C95" s="88"/>
      <c r="D95" s="62"/>
      <c r="E95" s="62"/>
      <c r="F95" s="114"/>
      <c r="G95" s="62"/>
      <c r="H95" s="62"/>
      <c r="I95" s="62"/>
      <c r="J95" s="62"/>
      <c r="K95" s="62"/>
      <c r="L95" s="62"/>
      <c r="M95" s="63"/>
      <c r="N95" s="62"/>
      <c r="O95" s="62"/>
      <c r="P95" s="62"/>
      <c r="Q95" s="63"/>
      <c r="R95" s="62"/>
      <c r="S95" s="89"/>
    </row>
    <row r="96" spans="1:19" s="8" customFormat="1">
      <c r="A96" s="118" t="s">
        <v>394</v>
      </c>
      <c r="C96" s="88"/>
      <c r="D96" s="62"/>
      <c r="E96" s="62"/>
      <c r="F96" s="114"/>
      <c r="G96" s="62"/>
      <c r="H96" s="62"/>
      <c r="I96" s="62"/>
      <c r="J96" s="62"/>
      <c r="K96" s="62"/>
      <c r="L96" s="62"/>
      <c r="M96" s="63"/>
      <c r="N96" s="62"/>
      <c r="O96" s="62"/>
      <c r="P96" s="62"/>
      <c r="Q96" s="63"/>
      <c r="R96" s="62"/>
      <c r="S96" s="89"/>
    </row>
    <row r="97" spans="1:19" s="8" customFormat="1">
      <c r="A97" s="118" t="s">
        <v>399</v>
      </c>
      <c r="C97" s="88"/>
      <c r="D97" s="62"/>
      <c r="E97" s="62"/>
      <c r="F97" s="114"/>
      <c r="G97" s="62"/>
      <c r="H97" s="62"/>
      <c r="I97" s="62"/>
      <c r="J97" s="62"/>
      <c r="K97" s="62"/>
      <c r="L97" s="62"/>
      <c r="M97" s="63"/>
      <c r="N97" s="62"/>
      <c r="O97" s="62"/>
      <c r="P97" s="62"/>
      <c r="Q97" s="63"/>
      <c r="R97" s="62"/>
      <c r="S97" s="89"/>
    </row>
    <row r="98" spans="1:19" s="8" customFormat="1">
      <c r="A98" s="118" t="s">
        <v>404</v>
      </c>
      <c r="C98" s="88"/>
      <c r="D98" s="62"/>
      <c r="E98" s="62"/>
      <c r="F98" s="114"/>
      <c r="G98" s="62"/>
      <c r="H98" s="62"/>
      <c r="I98" s="62"/>
      <c r="J98" s="62"/>
      <c r="K98" s="62"/>
      <c r="L98" s="62"/>
      <c r="M98" s="63"/>
      <c r="N98" s="62"/>
      <c r="O98" s="62"/>
      <c r="P98" s="62"/>
      <c r="Q98" s="63"/>
      <c r="R98" s="62"/>
      <c r="S98" s="89"/>
    </row>
    <row r="99" spans="1:19" s="8" customFormat="1">
      <c r="A99" s="118" t="s">
        <v>409</v>
      </c>
      <c r="C99" s="88"/>
      <c r="D99" s="62"/>
      <c r="E99" s="62"/>
      <c r="F99" s="114"/>
      <c r="G99" s="62"/>
      <c r="H99" s="62"/>
      <c r="I99" s="62"/>
      <c r="J99" s="62"/>
      <c r="K99" s="62"/>
      <c r="L99" s="62"/>
      <c r="M99" s="63"/>
      <c r="N99" s="62"/>
      <c r="O99" s="62"/>
      <c r="P99" s="62"/>
      <c r="Q99" s="63"/>
      <c r="R99" s="62"/>
      <c r="S99" s="89"/>
    </row>
    <row r="100" spans="1:19" s="8" customFormat="1">
      <c r="A100" s="118" t="s">
        <v>414</v>
      </c>
      <c r="C100" s="88"/>
      <c r="D100" s="62"/>
      <c r="E100" s="62"/>
      <c r="F100" s="114"/>
      <c r="G100" s="62"/>
      <c r="H100" s="62"/>
      <c r="I100" s="62"/>
      <c r="J100" s="62"/>
      <c r="K100" s="62"/>
      <c r="L100" s="62"/>
      <c r="M100" s="63"/>
      <c r="N100" s="62"/>
      <c r="O100" s="62"/>
      <c r="P100" s="62"/>
      <c r="Q100" s="63"/>
      <c r="R100" s="62"/>
      <c r="S100" s="89"/>
    </row>
    <row r="101" spans="1:19" s="8" customFormat="1">
      <c r="A101" s="118" t="s">
        <v>419</v>
      </c>
      <c r="C101" s="88"/>
      <c r="D101" s="62"/>
      <c r="E101" s="62"/>
      <c r="F101" s="114"/>
      <c r="G101" s="62"/>
      <c r="H101" s="62"/>
      <c r="I101" s="62"/>
      <c r="J101" s="62"/>
      <c r="K101" s="62"/>
      <c r="L101" s="62"/>
      <c r="M101" s="63"/>
      <c r="N101" s="62"/>
      <c r="O101" s="62"/>
      <c r="P101" s="62"/>
      <c r="Q101" s="63"/>
      <c r="R101" s="62"/>
      <c r="S101" s="89"/>
    </row>
    <row r="102" spans="1:19" s="8" customFormat="1">
      <c r="A102" s="118" t="s">
        <v>424</v>
      </c>
      <c r="C102" s="88"/>
      <c r="D102" s="62"/>
      <c r="E102" s="62"/>
      <c r="F102" s="114"/>
      <c r="G102" s="62"/>
      <c r="H102" s="62"/>
      <c r="I102" s="62"/>
      <c r="J102" s="62"/>
      <c r="K102" s="62"/>
      <c r="L102" s="62"/>
      <c r="M102" s="63"/>
      <c r="N102" s="62"/>
      <c r="O102" s="62"/>
      <c r="P102" s="62"/>
      <c r="Q102" s="63"/>
      <c r="R102" s="62"/>
      <c r="S102" s="89"/>
    </row>
    <row r="103" spans="1:19" s="8" customFormat="1">
      <c r="A103" s="118"/>
      <c r="C103" s="88"/>
      <c r="D103" s="62"/>
      <c r="E103" s="62"/>
      <c r="F103" s="114"/>
      <c r="G103" s="62"/>
      <c r="H103" s="62"/>
      <c r="I103" s="62"/>
      <c r="J103" s="62"/>
      <c r="K103" s="62"/>
      <c r="L103" s="62"/>
      <c r="M103" s="63"/>
      <c r="N103" s="62"/>
      <c r="O103" s="62"/>
      <c r="P103" s="62"/>
      <c r="Q103" s="63"/>
      <c r="R103" s="62"/>
      <c r="S103" s="89"/>
    </row>
    <row r="104" spans="1:19">
      <c r="C104" s="88"/>
      <c r="D104" s="62"/>
      <c r="E104" s="62"/>
      <c r="F104" s="114"/>
      <c r="G104" s="62"/>
      <c r="H104" s="62"/>
      <c r="I104" s="62"/>
      <c r="J104" s="62"/>
      <c r="K104" s="62"/>
      <c r="L104" s="62"/>
      <c r="M104" s="63"/>
      <c r="N104" s="62"/>
      <c r="O104" s="62"/>
      <c r="P104" s="62"/>
      <c r="Q104" s="63"/>
      <c r="R104" s="62"/>
      <c r="S104" s="89"/>
    </row>
    <row r="105" spans="1:19" s="8" customFormat="1">
      <c r="A105" s="118"/>
      <c r="C105" s="88"/>
      <c r="D105" s="62"/>
      <c r="E105" s="62"/>
      <c r="F105" s="114"/>
      <c r="G105" s="62"/>
      <c r="H105" s="62"/>
      <c r="I105" s="62"/>
      <c r="J105" s="62"/>
      <c r="K105" s="62"/>
      <c r="L105" s="62"/>
      <c r="M105" s="63"/>
      <c r="N105" s="62"/>
      <c r="O105" s="62"/>
      <c r="P105" s="62"/>
      <c r="Q105" s="63"/>
      <c r="R105" s="62"/>
      <c r="S105" s="89"/>
    </row>
    <row r="106" spans="1:19" s="8" customFormat="1">
      <c r="A106" s="118"/>
      <c r="C106" s="88"/>
      <c r="D106" s="62"/>
      <c r="E106" s="62"/>
      <c r="F106" s="114"/>
      <c r="G106" s="62"/>
      <c r="H106" s="62"/>
      <c r="I106" s="62"/>
      <c r="J106" s="62"/>
      <c r="K106" s="62"/>
      <c r="L106" s="62"/>
      <c r="M106" s="63"/>
      <c r="N106" s="62"/>
      <c r="O106" s="62"/>
      <c r="P106" s="62"/>
      <c r="Q106" s="63"/>
      <c r="R106" s="62"/>
      <c r="S106" s="89"/>
    </row>
    <row r="107" spans="1:19" s="8" customFormat="1">
      <c r="A107" s="118"/>
      <c r="C107" s="88"/>
      <c r="D107" s="62"/>
      <c r="E107" s="62"/>
      <c r="F107" s="114"/>
      <c r="G107" s="62"/>
      <c r="H107" s="62"/>
      <c r="I107" s="62"/>
      <c r="J107" s="62"/>
      <c r="K107" s="62"/>
      <c r="L107" s="62"/>
      <c r="M107" s="63"/>
      <c r="N107" s="62"/>
      <c r="O107" s="62"/>
      <c r="P107" s="62"/>
      <c r="Q107" s="63"/>
      <c r="R107" s="62"/>
      <c r="S107" s="89"/>
    </row>
    <row r="108" spans="1:19" s="8" customFormat="1">
      <c r="A108" s="118"/>
      <c r="C108" s="88"/>
      <c r="D108" s="62"/>
      <c r="E108" s="62"/>
      <c r="F108" s="114"/>
      <c r="G108" s="62"/>
      <c r="H108" s="62"/>
      <c r="I108" s="62"/>
      <c r="J108" s="62"/>
      <c r="K108" s="62"/>
      <c r="L108" s="62"/>
      <c r="M108" s="63"/>
      <c r="N108" s="62"/>
      <c r="O108" s="62"/>
      <c r="P108" s="62"/>
      <c r="Q108" s="63"/>
      <c r="R108" s="62"/>
      <c r="S108" s="89"/>
    </row>
    <row r="109" spans="1:19" s="8" customFormat="1">
      <c r="A109" s="118"/>
      <c r="C109" s="88"/>
      <c r="D109" s="62"/>
      <c r="E109" s="62"/>
      <c r="F109" s="114"/>
      <c r="G109" s="62"/>
      <c r="H109" s="62"/>
      <c r="I109" s="62"/>
      <c r="J109" s="62"/>
      <c r="K109" s="62"/>
      <c r="L109" s="62"/>
      <c r="M109" s="63"/>
      <c r="N109" s="62"/>
      <c r="O109" s="62"/>
      <c r="P109" s="62"/>
      <c r="Q109" s="63"/>
      <c r="R109" s="62"/>
      <c r="S109" s="89"/>
    </row>
    <row r="110" spans="1:19" s="8" customFormat="1" ht="15.75" thickBot="1">
      <c r="A110" s="118"/>
      <c r="C110" s="90"/>
      <c r="D110" s="91"/>
      <c r="E110" s="91"/>
      <c r="F110" s="115"/>
      <c r="G110" s="91"/>
      <c r="H110" s="91"/>
      <c r="I110" s="91"/>
      <c r="J110" s="91"/>
      <c r="K110" s="91"/>
      <c r="L110" s="91"/>
      <c r="M110" s="92"/>
      <c r="N110" s="91"/>
      <c r="O110" s="91"/>
      <c r="P110" s="91"/>
      <c r="Q110" s="92"/>
      <c r="R110" s="91"/>
      <c r="S110" s="93"/>
    </row>
    <row r="111" spans="1:19" s="8" customFormat="1">
      <c r="A111" s="118"/>
      <c r="C111" s="110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</row>
    <row r="112" spans="1:19" s="8" customFormat="1">
      <c r="A112" s="118"/>
      <c r="C112" s="110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</row>
    <row r="113" spans="1:19" s="8" customFormat="1">
      <c r="A113" s="118"/>
      <c r="C113" s="110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</row>
    <row r="114" spans="1:19" s="8" customFormat="1">
      <c r="A114" s="118"/>
      <c r="C114" s="110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</row>
    <row r="115" spans="1:19" s="8" customFormat="1">
      <c r="A115" s="118"/>
      <c r="C115" s="110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</row>
    <row r="116" spans="1:19" s="8" customFormat="1">
      <c r="A116" s="118"/>
      <c r="C116" s="110"/>
      <c r="D116" s="110"/>
      <c r="E116" s="110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</row>
    <row r="117" spans="1:19" s="8" customFormat="1">
      <c r="A117" s="118"/>
      <c r="C117" s="110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</row>
    <row r="118" spans="1:19" s="8" customFormat="1">
      <c r="A118" s="118"/>
      <c r="C118" s="110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</row>
    <row r="119" spans="1:19" s="8" customFormat="1">
      <c r="A119" s="118"/>
      <c r="C119" s="110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</row>
    <row r="120" spans="1:19" s="8" customFormat="1">
      <c r="A120" s="118"/>
      <c r="C120" s="110"/>
      <c r="D120" s="110"/>
      <c r="E120" s="110"/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</row>
    <row r="121" spans="1:19" s="8" customFormat="1">
      <c r="A121" s="118"/>
      <c r="C121" s="110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</row>
    <row r="123" spans="1:19" s="8" customFormat="1">
      <c r="A123" s="118"/>
      <c r="C123" s="110"/>
      <c r="D123" s="110"/>
      <c r="E123" s="110"/>
      <c r="F123" s="110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10"/>
    </row>
    <row r="124" spans="1:19" s="8" customFormat="1">
      <c r="A124" s="118"/>
      <c r="C124" s="110"/>
      <c r="D124" s="110"/>
      <c r="E124" s="110"/>
      <c r="F124" s="110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</row>
    <row r="125" spans="1:19" s="8" customFormat="1">
      <c r="A125" s="118"/>
      <c r="C125" s="110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</row>
    <row r="126" spans="1:19" s="8" customFormat="1">
      <c r="A126" s="118"/>
      <c r="C126" s="110"/>
      <c r="D126" s="110"/>
      <c r="E126" s="110"/>
      <c r="F126" s="110"/>
      <c r="G126" s="110"/>
      <c r="H126" s="110"/>
      <c r="I126" s="110"/>
      <c r="J126" s="110"/>
      <c r="K126" s="110"/>
      <c r="L126" s="110"/>
      <c r="M126" s="110"/>
      <c r="N126" s="110"/>
      <c r="O126" s="110"/>
      <c r="P126" s="110"/>
      <c r="Q126" s="110"/>
      <c r="R126" s="110"/>
      <c r="S126" s="110"/>
    </row>
    <row r="127" spans="1:19" s="8" customFormat="1">
      <c r="A127" s="118"/>
      <c r="C127" s="110"/>
      <c r="D127" s="110"/>
      <c r="E127" s="110"/>
      <c r="F127" s="110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  <c r="R127" s="110"/>
      <c r="S127" s="110"/>
    </row>
    <row r="128" spans="1:19" s="8" customFormat="1">
      <c r="A128" s="118"/>
      <c r="C128" s="110"/>
      <c r="D128" s="110"/>
      <c r="E128" s="110"/>
      <c r="F128" s="110"/>
      <c r="G128" s="110"/>
      <c r="H128" s="110"/>
      <c r="I128" s="110"/>
      <c r="J128" s="110"/>
      <c r="K128" s="110"/>
      <c r="L128" s="110"/>
      <c r="M128" s="110"/>
      <c r="N128" s="110"/>
      <c r="O128" s="110"/>
      <c r="P128" s="110"/>
      <c r="Q128" s="110"/>
      <c r="R128" s="110"/>
      <c r="S128" s="110"/>
    </row>
    <row r="129" spans="1:19" s="8" customFormat="1">
      <c r="A129" s="118"/>
      <c r="C129" s="110"/>
      <c r="D129" s="110"/>
      <c r="E129" s="110"/>
      <c r="F129" s="110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10"/>
    </row>
    <row r="130" spans="1:19" s="8" customFormat="1">
      <c r="A130" s="118"/>
      <c r="C130" s="110"/>
      <c r="D130" s="110"/>
      <c r="E130" s="110"/>
      <c r="F130" s="110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</row>
    <row r="131" spans="1:19" s="8" customFormat="1">
      <c r="A131" s="118"/>
      <c r="C131" s="110"/>
      <c r="D131" s="110"/>
      <c r="E131" s="110"/>
      <c r="F131" s="110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10"/>
    </row>
    <row r="132" spans="1:19" s="8" customFormat="1">
      <c r="A132" s="118"/>
      <c r="C132" s="110"/>
      <c r="D132" s="110"/>
      <c r="E132" s="110"/>
      <c r="F132" s="110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</row>
    <row r="133" spans="1:19" s="8" customFormat="1">
      <c r="A133" s="118"/>
      <c r="C133" s="110"/>
      <c r="D133" s="110"/>
      <c r="E133" s="110"/>
      <c r="F133" s="110"/>
      <c r="G133" s="110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</row>
    <row r="134" spans="1:19" s="8" customFormat="1">
      <c r="A134" s="118"/>
      <c r="C134" s="110"/>
      <c r="D134" s="110"/>
      <c r="E134" s="110"/>
      <c r="F134" s="110"/>
      <c r="G134" s="110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</row>
    <row r="135" spans="1:19" s="8" customFormat="1">
      <c r="A135" s="118"/>
      <c r="C135" s="110"/>
      <c r="D135" s="110"/>
      <c r="E135" s="110"/>
      <c r="F135" s="110"/>
      <c r="G135" s="110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</row>
    <row r="136" spans="1:19" s="8" customFormat="1">
      <c r="A136" s="118"/>
      <c r="C136" s="110"/>
      <c r="D136" s="110"/>
      <c r="E136" s="110"/>
      <c r="F136" s="110"/>
      <c r="G136" s="110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</row>
    <row r="137" spans="1:19" s="8" customFormat="1">
      <c r="A137" s="118"/>
      <c r="C137" s="110"/>
      <c r="D137" s="110"/>
      <c r="E137" s="110"/>
      <c r="F137" s="110"/>
      <c r="G137" s="110"/>
      <c r="H137" s="110"/>
      <c r="I137" s="110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</row>
    <row r="138" spans="1:19" s="8" customFormat="1">
      <c r="A138" s="118"/>
      <c r="C138" s="110"/>
      <c r="D138" s="110"/>
      <c r="E138" s="110"/>
      <c r="F138" s="110"/>
      <c r="G138" s="110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</row>
    <row r="139" spans="1:19" s="8" customFormat="1">
      <c r="A139" s="118"/>
      <c r="C139" s="110"/>
      <c r="D139" s="110"/>
      <c r="E139" s="110"/>
      <c r="F139" s="110"/>
      <c r="G139" s="110"/>
      <c r="H139" s="110"/>
      <c r="I139" s="110"/>
      <c r="J139" s="110"/>
      <c r="K139" s="110"/>
      <c r="L139" s="110"/>
      <c r="M139" s="110"/>
      <c r="N139" s="110"/>
      <c r="O139" s="110"/>
      <c r="P139" s="110"/>
      <c r="Q139" s="110"/>
      <c r="R139" s="110"/>
      <c r="S139" s="110"/>
    </row>
    <row r="141" spans="1:19" s="8" customFormat="1">
      <c r="A141" s="118"/>
      <c r="C141" s="110"/>
      <c r="D141" s="110"/>
      <c r="E141" s="110"/>
      <c r="F141" s="110"/>
      <c r="G141" s="110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</row>
    <row r="142" spans="1:19" s="8" customFormat="1">
      <c r="A142" s="118"/>
      <c r="C142" s="110"/>
      <c r="D142" s="110"/>
      <c r="E142" s="110"/>
      <c r="F142" s="110"/>
      <c r="G142" s="110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</row>
    <row r="143" spans="1:19" s="8" customFormat="1">
      <c r="A143" s="118"/>
      <c r="C143" s="110"/>
      <c r="D143" s="110"/>
      <c r="E143" s="110"/>
      <c r="F143" s="110"/>
      <c r="G143" s="110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</row>
    <row r="144" spans="1:19" s="8" customFormat="1">
      <c r="A144" s="118"/>
      <c r="C144" s="110"/>
      <c r="D144" s="110"/>
      <c r="E144" s="110"/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</row>
    <row r="145" spans="1:19" s="8" customFormat="1">
      <c r="A145" s="118"/>
      <c r="C145" s="110"/>
      <c r="D145" s="110"/>
      <c r="E145" s="110"/>
      <c r="F145" s="110"/>
      <c r="G145" s="110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</row>
    <row r="146" spans="1:19" s="8" customFormat="1">
      <c r="A146" s="118"/>
      <c r="C146" s="110"/>
      <c r="D146" s="110"/>
      <c r="E146" s="110"/>
      <c r="F146" s="110"/>
      <c r="G146" s="110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</row>
    <row r="147" spans="1:19" s="8" customFormat="1">
      <c r="A147" s="118"/>
      <c r="C147" s="110"/>
      <c r="D147" s="110"/>
      <c r="E147" s="110"/>
      <c r="F147" s="110"/>
      <c r="G147" s="110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</row>
    <row r="148" spans="1:19" s="8" customFormat="1">
      <c r="A148" s="118"/>
      <c r="C148" s="110"/>
      <c r="D148" s="110"/>
      <c r="E148" s="110"/>
      <c r="F148" s="110"/>
      <c r="G148" s="110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</row>
    <row r="149" spans="1:19" s="8" customFormat="1">
      <c r="A149" s="118"/>
      <c r="C149" s="110"/>
      <c r="D149" s="110"/>
      <c r="E149" s="110"/>
      <c r="F149" s="110"/>
      <c r="G149" s="110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</row>
    <row r="150" spans="1:19" s="8" customFormat="1">
      <c r="A150" s="118"/>
      <c r="C150" s="110"/>
      <c r="D150" s="110"/>
      <c r="E150" s="110"/>
      <c r="F150" s="110"/>
      <c r="G150" s="110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</row>
    <row r="151" spans="1:19" s="8" customFormat="1">
      <c r="A151" s="118"/>
      <c r="C151" s="110"/>
      <c r="D151" s="110"/>
      <c r="E151" s="110"/>
      <c r="F151" s="110"/>
      <c r="G151" s="110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</row>
    <row r="152" spans="1:19" s="8" customFormat="1">
      <c r="A152" s="118"/>
      <c r="C152" s="110"/>
      <c r="D152" s="110"/>
      <c r="E152" s="110"/>
      <c r="F152" s="110"/>
      <c r="G152" s="110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</row>
    <row r="153" spans="1:19" s="8" customFormat="1">
      <c r="A153" s="118"/>
      <c r="C153" s="110"/>
      <c r="D153" s="110"/>
      <c r="E153" s="110"/>
      <c r="F153" s="110"/>
      <c r="G153" s="110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</row>
    <row r="154" spans="1:19" s="8" customFormat="1">
      <c r="A154" s="118"/>
      <c r="C154" s="110"/>
      <c r="D154" s="110"/>
      <c r="E154" s="110"/>
      <c r="F154" s="110"/>
      <c r="G154" s="110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</row>
    <row r="155" spans="1:19" s="8" customFormat="1">
      <c r="A155" s="118"/>
      <c r="C155" s="110"/>
      <c r="D155" s="110"/>
      <c r="E155" s="110"/>
      <c r="F155" s="110"/>
      <c r="G155" s="110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</row>
    <row r="156" spans="1:19" s="8" customFormat="1">
      <c r="A156" s="118"/>
      <c r="C156" s="110"/>
      <c r="D156" s="110"/>
      <c r="E156" s="110"/>
      <c r="F156" s="110"/>
      <c r="G156" s="110"/>
      <c r="H156" s="110"/>
      <c r="I156" s="110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</row>
    <row r="157" spans="1:19" s="8" customFormat="1">
      <c r="A157" s="118"/>
      <c r="C157" s="110"/>
      <c r="D157" s="110"/>
      <c r="E157" s="110"/>
      <c r="F157" s="110"/>
      <c r="G157" s="110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</row>
    <row r="165" spans="1:19" s="8" customFormat="1">
      <c r="A165" s="118"/>
      <c r="C165" s="110"/>
      <c r="D165" s="110"/>
      <c r="E165" s="110"/>
      <c r="F165" s="110"/>
      <c r="G165" s="110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</row>
    <row r="178" spans="1:19" s="8" customFormat="1">
      <c r="A178" s="118"/>
      <c r="C178" s="110"/>
      <c r="D178" s="110"/>
      <c r="E178" s="110"/>
      <c r="F178" s="110"/>
      <c r="G178" s="110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</row>
    <row r="179" spans="1:19" s="8" customFormat="1">
      <c r="A179" s="118"/>
      <c r="C179" s="110"/>
      <c r="D179" s="110"/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</row>
    <row r="180" spans="1:19" s="8" customFormat="1">
      <c r="A180" s="118"/>
      <c r="C180" s="110"/>
      <c r="D180" s="110"/>
      <c r="E180" s="110"/>
      <c r="F180" s="110"/>
      <c r="G180" s="110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</row>
    <row r="181" spans="1:19" s="8" customFormat="1">
      <c r="A181" s="118"/>
      <c r="C181" s="110"/>
      <c r="D181" s="110"/>
      <c r="E181" s="110"/>
      <c r="F181" s="110"/>
      <c r="G181" s="110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</row>
    <row r="182" spans="1:19" s="8" customFormat="1">
      <c r="A182" s="118"/>
      <c r="C182" s="110"/>
      <c r="D182" s="110"/>
      <c r="E182" s="110"/>
      <c r="F182" s="110"/>
      <c r="G182" s="110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</row>
    <row r="183" spans="1:19" s="8" customFormat="1">
      <c r="A183" s="118"/>
      <c r="C183" s="110"/>
      <c r="D183" s="110"/>
      <c r="E183" s="110"/>
      <c r="F183" s="110"/>
      <c r="G183" s="110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</row>
    <row r="184" spans="1:19" s="8" customFormat="1">
      <c r="A184" s="118"/>
      <c r="C184" s="110"/>
      <c r="D184" s="110"/>
      <c r="E184" s="110"/>
      <c r="F184" s="110"/>
      <c r="G184" s="110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</row>
    <row r="185" spans="1:19" s="8" customFormat="1">
      <c r="A185" s="118"/>
      <c r="C185" s="110"/>
      <c r="D185" s="110"/>
      <c r="E185" s="110"/>
      <c r="F185" s="110"/>
      <c r="G185" s="110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</row>
    <row r="187" spans="1:19" s="8" customFormat="1">
      <c r="A187" s="118"/>
      <c r="C187" s="110"/>
      <c r="D187" s="110"/>
      <c r="E187" s="110"/>
      <c r="F187" s="110"/>
      <c r="G187" s="110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</row>
    <row r="188" spans="1:19" s="8" customFormat="1">
      <c r="A188" s="118"/>
      <c r="C188" s="110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</row>
    <row r="189" spans="1:19" s="8" customFormat="1">
      <c r="A189" s="118"/>
      <c r="C189" s="110"/>
      <c r="D189" s="110"/>
      <c r="E189" s="110"/>
      <c r="F189" s="110"/>
      <c r="G189" s="110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</row>
    <row r="190" spans="1:19" s="8" customFormat="1">
      <c r="A190" s="118"/>
      <c r="C190" s="110"/>
      <c r="D190" s="110"/>
      <c r="E190" s="110"/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</row>
    <row r="191" spans="1:19" s="8" customFormat="1">
      <c r="A191" s="118"/>
      <c r="C191" s="110"/>
      <c r="D191" s="110"/>
      <c r="E191" s="110"/>
      <c r="F191" s="110"/>
      <c r="G191" s="110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</row>
    <row r="192" spans="1:19" s="8" customFormat="1">
      <c r="A192" s="118"/>
      <c r="C192" s="110"/>
      <c r="D192" s="110"/>
      <c r="E192" s="110"/>
      <c r="F192" s="110"/>
      <c r="G192" s="110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</row>
    <row r="193" spans="1:19" s="8" customFormat="1">
      <c r="A193" s="118"/>
      <c r="C193" s="110"/>
      <c r="D193" s="110"/>
      <c r="E193" s="110"/>
      <c r="F193" s="110"/>
      <c r="G193" s="110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</row>
    <row r="194" spans="1:19" s="8" customFormat="1">
      <c r="A194" s="118"/>
      <c r="C194" s="110"/>
      <c r="D194" s="110"/>
      <c r="E194" s="110"/>
      <c r="F194" s="110"/>
      <c r="G194" s="110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</row>
    <row r="195" spans="1:19" s="8" customFormat="1">
      <c r="A195" s="118"/>
      <c r="C195" s="110"/>
      <c r="D195" s="110"/>
      <c r="E195" s="110"/>
      <c r="F195" s="110"/>
      <c r="G195" s="110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</row>
    <row r="196" spans="1:19" s="8" customFormat="1">
      <c r="A196" s="118"/>
      <c r="C196" s="110"/>
      <c r="D196" s="110"/>
      <c r="E196" s="110"/>
      <c r="F196" s="110"/>
      <c r="G196" s="110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</row>
    <row r="197" spans="1:19" s="8" customFormat="1">
      <c r="A197" s="118"/>
      <c r="C197" s="110"/>
      <c r="D197" s="110"/>
      <c r="E197" s="110"/>
      <c r="F197" s="110"/>
      <c r="G197" s="110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</row>
    <row r="198" spans="1:19" s="8" customFormat="1">
      <c r="A198" s="118"/>
      <c r="C198" s="110"/>
      <c r="D198" s="110"/>
      <c r="E198" s="110"/>
      <c r="F198" s="110"/>
      <c r="G198" s="110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</row>
    <row r="199" spans="1:19" s="8" customFormat="1">
      <c r="A199" s="118"/>
      <c r="C199" s="110"/>
      <c r="D199" s="110"/>
      <c r="E199" s="110"/>
      <c r="F199" s="110"/>
      <c r="G199" s="110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</row>
    <row r="200" spans="1:19" s="8" customFormat="1">
      <c r="A200" s="118"/>
      <c r="C200" s="110"/>
      <c r="D200" s="110"/>
      <c r="E200" s="110"/>
      <c r="F200" s="110"/>
      <c r="G200" s="110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</row>
    <row r="201" spans="1:19" s="8" customFormat="1">
      <c r="A201" s="118"/>
      <c r="C201" s="110"/>
      <c r="D201" s="110"/>
      <c r="E201" s="110"/>
      <c r="F201" s="110"/>
      <c r="G201" s="110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</row>
    <row r="202" spans="1:19" s="8" customFormat="1">
      <c r="A202" s="118"/>
      <c r="C202" s="110"/>
      <c r="D202" s="110"/>
      <c r="E202" s="110"/>
      <c r="F202" s="110"/>
      <c r="G202" s="110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</row>
    <row r="203" spans="1:19" s="8" customFormat="1">
      <c r="A203" s="118"/>
      <c r="C203" s="110"/>
      <c r="D203" s="110"/>
      <c r="E203" s="110"/>
      <c r="F203" s="110"/>
      <c r="G203" s="110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</row>
    <row r="204" spans="1:19" s="8" customFormat="1">
      <c r="A204" s="118"/>
      <c r="C204" s="110"/>
      <c r="D204" s="110"/>
      <c r="E204" s="110"/>
      <c r="F204" s="110"/>
      <c r="G204" s="110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</row>
    <row r="205" spans="1:19" s="8" customFormat="1">
      <c r="A205" s="118"/>
      <c r="C205" s="110"/>
      <c r="D205" s="110"/>
      <c r="E205" s="110"/>
      <c r="F205" s="110"/>
      <c r="G205" s="110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</row>
    <row r="206" spans="1:19" s="8" customFormat="1">
      <c r="A206" s="118"/>
      <c r="C206" s="110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</row>
    <row r="207" spans="1:19" s="8" customFormat="1">
      <c r="A207" s="118"/>
      <c r="C207" s="110"/>
      <c r="D207" s="110"/>
      <c r="E207" s="110"/>
      <c r="F207" s="110"/>
      <c r="G207" s="110"/>
      <c r="H207" s="110"/>
      <c r="I207" s="110"/>
      <c r="J207" s="110"/>
      <c r="K207" s="110"/>
      <c r="L207" s="110"/>
      <c r="M207" s="110"/>
      <c r="N207" s="110"/>
      <c r="O207" s="110"/>
      <c r="P207" s="110"/>
      <c r="Q207" s="110"/>
      <c r="R207" s="110"/>
      <c r="S207" s="110"/>
    </row>
    <row r="208" spans="1:19" s="8" customFormat="1">
      <c r="A208" s="118"/>
      <c r="C208" s="110"/>
      <c r="D208" s="110"/>
      <c r="E208" s="110"/>
      <c r="F208" s="110"/>
      <c r="G208" s="110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</row>
    <row r="209" spans="1:19" s="8" customFormat="1">
      <c r="A209" s="118"/>
      <c r="C209" s="110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</row>
    <row r="210" spans="1:19" s="8" customFormat="1">
      <c r="A210" s="118"/>
      <c r="C210" s="110"/>
      <c r="D210" s="110"/>
      <c r="E210" s="110"/>
      <c r="F210" s="110"/>
      <c r="G210" s="110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</row>
    <row r="211" spans="1:19" s="8" customFormat="1">
      <c r="A211" s="118"/>
      <c r="C211" s="110"/>
      <c r="D211" s="110"/>
      <c r="E211" s="110"/>
      <c r="F211" s="110"/>
      <c r="G211" s="110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</row>
    <row r="212" spans="1:19" s="8" customFormat="1">
      <c r="A212" s="118"/>
      <c r="C212" s="110"/>
      <c r="D212" s="110"/>
      <c r="E212" s="110"/>
      <c r="F212" s="110"/>
      <c r="G212" s="110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</row>
    <row r="213" spans="1:19" s="8" customFormat="1">
      <c r="A213" s="118"/>
      <c r="C213" s="110"/>
      <c r="D213" s="110"/>
      <c r="E213" s="110"/>
      <c r="F213" s="110"/>
      <c r="G213" s="110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</row>
    <row r="214" spans="1:19" s="8" customFormat="1">
      <c r="A214" s="118"/>
      <c r="C214" s="110"/>
      <c r="D214" s="110"/>
      <c r="E214" s="110"/>
      <c r="F214" s="110"/>
      <c r="G214" s="110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</row>
    <row r="215" spans="1:19" s="8" customFormat="1">
      <c r="A215" s="118"/>
      <c r="C215" s="110"/>
      <c r="D215" s="110"/>
      <c r="E215" s="110"/>
      <c r="F215" s="110"/>
      <c r="G215" s="110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</row>
    <row r="216" spans="1:19" s="8" customFormat="1">
      <c r="A216" s="118"/>
      <c r="C216" s="110"/>
      <c r="D216" s="110"/>
      <c r="E216" s="110"/>
      <c r="F216" s="110"/>
      <c r="G216" s="110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</row>
    <row r="217" spans="1:19" s="8" customFormat="1">
      <c r="A217" s="118"/>
      <c r="C217" s="110"/>
      <c r="D217" s="110"/>
      <c r="E217" s="110"/>
      <c r="F217" s="110"/>
      <c r="G217" s="110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</row>
    <row r="218" spans="1:19" s="8" customFormat="1">
      <c r="A218" s="118"/>
      <c r="C218" s="110"/>
      <c r="D218" s="110"/>
      <c r="E218" s="110"/>
      <c r="F218" s="110"/>
      <c r="G218" s="110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</row>
    <row r="219" spans="1:19" s="8" customFormat="1">
      <c r="A219" s="118"/>
      <c r="C219" s="110"/>
      <c r="D219" s="110"/>
      <c r="E219" s="110"/>
      <c r="F219" s="110"/>
      <c r="G219" s="110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</row>
    <row r="220" spans="1:19" s="8" customFormat="1">
      <c r="A220" s="118"/>
      <c r="C220" s="110"/>
      <c r="D220" s="110"/>
      <c r="E220" s="110"/>
      <c r="F220" s="110"/>
      <c r="G220" s="110"/>
      <c r="H220" s="110"/>
      <c r="I220" s="110"/>
      <c r="J220" s="110"/>
      <c r="K220" s="110"/>
      <c r="L220" s="110"/>
      <c r="M220" s="110"/>
      <c r="N220" s="110"/>
      <c r="O220" s="110"/>
      <c r="P220" s="110"/>
      <c r="Q220" s="110"/>
      <c r="R220" s="110"/>
      <c r="S220" s="110"/>
    </row>
    <row r="221" spans="1:19" s="8" customFormat="1">
      <c r="A221" s="118"/>
      <c r="C221" s="110"/>
      <c r="D221" s="110"/>
      <c r="E221" s="110"/>
      <c r="F221" s="110"/>
      <c r="G221" s="110"/>
      <c r="H221" s="110"/>
      <c r="I221" s="110"/>
      <c r="J221" s="110"/>
      <c r="K221" s="110"/>
      <c r="L221" s="110"/>
      <c r="M221" s="110"/>
      <c r="N221" s="110"/>
      <c r="O221" s="110"/>
      <c r="P221" s="110"/>
      <c r="Q221" s="110"/>
      <c r="R221" s="110"/>
      <c r="S221" s="110"/>
    </row>
    <row r="222" spans="1:19" s="8" customFormat="1">
      <c r="A222" s="118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</row>
    <row r="223" spans="1:19" s="8" customFormat="1">
      <c r="A223" s="118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</row>
    <row r="224" spans="1:19" s="8" customFormat="1">
      <c r="A224" s="118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</row>
    <row r="225" spans="1:19" s="8" customFormat="1">
      <c r="A225" s="118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</row>
    <row r="226" spans="1:19" s="8" customFormat="1">
      <c r="A226" s="118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</row>
    <row r="227" spans="1:19" s="8" customFormat="1">
      <c r="A227" s="118"/>
      <c r="C227" s="110"/>
      <c r="D227" s="110"/>
      <c r="E227" s="110"/>
      <c r="F227" s="110"/>
      <c r="G227" s="110"/>
      <c r="H227" s="110"/>
      <c r="I227" s="110"/>
      <c r="J227" s="110"/>
      <c r="K227" s="110"/>
      <c r="L227" s="110"/>
      <c r="M227" s="110"/>
      <c r="N227" s="110"/>
      <c r="O227" s="110"/>
      <c r="P227" s="110"/>
      <c r="Q227" s="110"/>
      <c r="R227" s="110"/>
      <c r="S227" s="110"/>
    </row>
    <row r="228" spans="1:19" s="8" customFormat="1">
      <c r="A228" s="118"/>
      <c r="C228" s="110"/>
      <c r="D228" s="110"/>
      <c r="E228" s="110"/>
      <c r="F228" s="110"/>
      <c r="G228" s="110"/>
      <c r="H228" s="110"/>
      <c r="I228" s="110"/>
      <c r="J228" s="110"/>
      <c r="K228" s="110"/>
      <c r="L228" s="110"/>
      <c r="M228" s="110"/>
      <c r="N228" s="110"/>
      <c r="O228" s="110"/>
      <c r="P228" s="110"/>
      <c r="Q228" s="110"/>
      <c r="R228" s="110"/>
      <c r="S228" s="110"/>
    </row>
    <row r="229" spans="1:19" s="8" customFormat="1">
      <c r="A229" s="118"/>
      <c r="C229" s="110"/>
      <c r="D229" s="110"/>
      <c r="E229" s="110"/>
      <c r="F229" s="110"/>
      <c r="G229" s="110"/>
      <c r="H229" s="110"/>
      <c r="I229" s="110"/>
      <c r="J229" s="110"/>
      <c r="K229" s="110"/>
      <c r="L229" s="110"/>
      <c r="M229" s="110"/>
      <c r="N229" s="110"/>
      <c r="O229" s="110"/>
      <c r="P229" s="110"/>
      <c r="Q229" s="110"/>
      <c r="R229" s="110"/>
      <c r="S229" s="110"/>
    </row>
  </sheetData>
  <sheetProtection password="B6E0" sheet="1" objects="1" scenarios="1"/>
  <protectedRanges>
    <protectedRange sqref="A1:A1048576" name="Range3"/>
    <protectedRange sqref="D4:D6" name="Range1"/>
    <protectedRange sqref="C11:S110" name="Range2"/>
  </protectedRanges>
  <mergeCells count="5">
    <mergeCell ref="E2:S2"/>
    <mergeCell ref="C9:C10"/>
    <mergeCell ref="D9:D10"/>
    <mergeCell ref="E9:N9"/>
    <mergeCell ref="O9:S9"/>
  </mergeCells>
  <printOptions horizontalCentered="1"/>
  <pageMargins left="0.39370078740157483" right="0.39370078740157483" top="3.03" bottom="0.39370078740157483" header="0.19685039370078741" footer="0.19685039370078741"/>
  <pageSetup paperSize="9" scale="71" orientation="landscape" horizontalDpi="355" verticalDpi="464" r:id="rId1"/>
  <headerFooter alignWithMargins="0">
    <oddFooter>&amp;L&amp;"Arial,Negrito"&amp;F&amp;C&amp;"Arial,Negrito"CONFIDENCIAL&amp;R&amp;"Arial,Negrito"&amp;P/&amp;N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697" r:id="rId4" name="Button 157">
              <controlPr defaultSize="0" print="0" autoFill="0" autoLine="0" autoPict="0" macro="[0]!GBoIP_BSC">
                <anchor moveWithCells="1" sizeWithCells="1">
                  <from>
                    <xdr:col>2</xdr:col>
                    <xdr:colOff>47625</xdr:colOff>
                    <xdr:row>0</xdr:row>
                    <xdr:rowOff>85725</xdr:rowOff>
                  </from>
                  <to>
                    <xdr:col>3</xdr:col>
                    <xdr:colOff>923925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GBoFR</vt:lpstr>
      <vt:lpstr>GBoIP</vt:lpstr>
      <vt:lpstr>GBoIP S14</vt:lpstr>
      <vt:lpstr>GBoFR (NSEI Proyect)</vt:lpstr>
      <vt:lpstr>GBoIP S14 (NSEI Proyect)</vt:lpstr>
    </vt:vector>
  </TitlesOfParts>
  <Company>Álvaro Raúl Mendoza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Álvaro R. Mendoza</dc:creator>
  <cp:lastModifiedBy>Alvaro Raul Mendoza - Claro BS -</cp:lastModifiedBy>
  <dcterms:created xsi:type="dcterms:W3CDTF">2009-09-11T00:57:41Z</dcterms:created>
  <dcterms:modified xsi:type="dcterms:W3CDTF">2016-03-18T13:07:15Z</dcterms:modified>
</cp:coreProperties>
</file>