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480" windowWidth="18720" windowHeight="8145" activeTab="1"/>
  </bookViews>
  <sheets>
    <sheet name="Creating TCSM Configuration" sheetId="18" r:id="rId1"/>
    <sheet name="Creating TCSM3i HW" sheetId="5" r:id="rId2"/>
    <sheet name="Deleting TCSM3i HW" sheetId="20" r:id="rId3"/>
    <sheet name="TCSM3i BayFace" sheetId="19" r:id="rId4"/>
  </sheets>
  <externalReferences>
    <externalReference r:id="rId5"/>
    <externalReference r:id="rId6"/>
    <externalReference r:id="rId7"/>
  </externalReferences>
  <definedNames>
    <definedName name="____ert454">'[1]Terminais Convencionais'!#REF!</definedName>
    <definedName name="____f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___ert454">'[1]Terminais Convencionais'!#REF!</definedName>
    <definedName name="___f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__f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_002" localSheetId="3">#REF!</definedName>
    <definedName name="_002_2_" localSheetId="3">#REF!</definedName>
    <definedName name="_003" localSheetId="3">#REF!</definedName>
    <definedName name="_f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A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bc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cd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dsf" localSheetId="3">[2]Capa!#REF!</definedName>
    <definedName name="as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sdf" localSheetId="3">'[3]BSE AL - Plano Numeração'!#REF!</definedName>
    <definedName name="ATM_End_Pnt_Grps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utor" localSheetId="3">[2]Capa!#REF!</definedName>
    <definedName name="b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cd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cfname" localSheetId="3">#REF!</definedName>
    <definedName name="BDADOS" localSheetId="3">#REF!</definedName>
    <definedName name="BSC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se_ce">'[3]BSE CE - Plano Numeração'!#REF!</definedName>
    <definedName name="bse_pb">'[3]BSE PB - Plano Numeração'!#REF!</definedName>
    <definedName name="bse_pe">'[3]BSE PE - Plano Numeração'!#REF!</definedName>
    <definedName name="bse_pi" localSheetId="3">#REF!</definedName>
    <definedName name="cod_ast" localSheetId="3">#REF!</definedName>
    <definedName name="CRITÉRIO" localSheetId="3">#REF!</definedName>
    <definedName name="cur" localSheetId="3">#REF!</definedName>
    <definedName name="cust_group" localSheetId="3">#REF!</definedName>
    <definedName name="d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fh">'[3]BSE PB - Plano Numeração'!#REF!</definedName>
    <definedName name="dggggj" localSheetId="3">[2]Capa!#REF!</definedName>
    <definedName name="dhsj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iscount" localSheetId="3">#REF!</definedName>
    <definedName name="dold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s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eeeee" localSheetId="3">'[1]Terminais Convencionais'!#REF!</definedName>
    <definedName name="eowqib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ur_Usd" localSheetId="3">#REF!</definedName>
    <definedName name="euro_usd" localSheetId="3">#REF!</definedName>
    <definedName name="ewqieowqb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wqjewq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XTRAÇÃO" localSheetId="3">#REF!</definedName>
    <definedName name="fd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dkj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dsa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jdshb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GboverFR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h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ieowqe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ikoewqewq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KKJ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kkkkk" localSheetId="3">'[3]BSE RN - Plano Numeração'!#REF!</definedName>
    <definedName name="l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LatLong" localSheetId="3">#REF!</definedName>
    <definedName name="list" localSheetId="3">#REF!</definedName>
    <definedName name="MAT_FUTURA" localSheetId="3">#REF!</definedName>
    <definedName name="q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Query2" localSheetId="3">#REF!</definedName>
    <definedName name="qw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rede_roam" localSheetId="3">#REF!</definedName>
    <definedName name="rede_sin" localSheetId="3">#REF!</definedName>
    <definedName name="s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sd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smc" localSheetId="3">#REF!</definedName>
    <definedName name="test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2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3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uyyu">'[3]BSE CE - Plano Numeração'!#REF!</definedName>
    <definedName name="v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" localSheetId="3">'[1]Terminais Convencionais'!#REF!</definedName>
    <definedName name="wq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qehwq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rn.MSC._.Site._.Folder.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www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x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yyyyyj">'[3]BSE PE - Plano Numeração'!#REF!</definedName>
    <definedName name="z" localSheetId="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</definedNames>
  <calcPr calcId="144525"/>
</workbook>
</file>

<file path=xl/calcChain.xml><?xml version="1.0" encoding="utf-8"?>
<calcChain xmlns="http://schemas.openxmlformats.org/spreadsheetml/2006/main">
  <c r="A5" i="5" l="1"/>
  <c r="A24" i="18" l="1"/>
  <c r="A22" i="18"/>
  <c r="A21" i="18"/>
  <c r="A20" i="18"/>
  <c r="A19" i="18"/>
  <c r="A8" i="5"/>
  <c r="E14" i="18" l="1"/>
  <c r="A14" i="18" s="1"/>
  <c r="E13" i="18"/>
  <c r="A13" i="18" s="1"/>
  <c r="E12" i="18"/>
  <c r="A12" i="18" s="1"/>
  <c r="E11" i="18"/>
  <c r="A11" i="18" s="1"/>
  <c r="E10" i="18"/>
  <c r="A10" i="18" s="1"/>
  <c r="E9" i="18"/>
  <c r="A9" i="18"/>
  <c r="E8" i="18"/>
  <c r="A8" i="18"/>
  <c r="E7" i="18"/>
  <c r="A6" i="18"/>
  <c r="A5" i="18"/>
  <c r="X41" i="19"/>
  <c r="Y41" i="19" s="1"/>
  <c r="Z41" i="19" s="1"/>
  <c r="AA41" i="19" s="1"/>
  <c r="AB41" i="19" s="1"/>
  <c r="AC41" i="19" s="1"/>
  <c r="AD41" i="19" s="1"/>
  <c r="AE41" i="19" s="1"/>
  <c r="AF41" i="19" s="1"/>
  <c r="AG41" i="19" s="1"/>
  <c r="AH41" i="19" s="1"/>
  <c r="AI41" i="19" s="1"/>
  <c r="AJ41" i="19" s="1"/>
  <c r="AK41" i="19" s="1"/>
  <c r="AL41" i="19" s="1"/>
  <c r="D41" i="19"/>
  <c r="E41" i="19" s="1"/>
  <c r="F41" i="19" s="1"/>
  <c r="G41" i="19" s="1"/>
  <c r="H41" i="19" s="1"/>
  <c r="I41" i="19" s="1"/>
  <c r="J41" i="19" s="1"/>
  <c r="K41" i="19" s="1"/>
  <c r="L41" i="19" s="1"/>
  <c r="M41" i="19" s="1"/>
  <c r="N41" i="19" s="1"/>
  <c r="O41" i="19" s="1"/>
  <c r="P41" i="19" s="1"/>
  <c r="Q41" i="19" s="1"/>
  <c r="R41" i="19" s="1"/>
  <c r="X34" i="19"/>
  <c r="Y34" i="19" s="1"/>
  <c r="Z34" i="19" s="1"/>
  <c r="AA34" i="19" s="1"/>
  <c r="AB34" i="19" s="1"/>
  <c r="AC34" i="19" s="1"/>
  <c r="AD34" i="19" s="1"/>
  <c r="AE34" i="19" s="1"/>
  <c r="AF34" i="19" s="1"/>
  <c r="AG34" i="19" s="1"/>
  <c r="AH34" i="19" s="1"/>
  <c r="AI34" i="19" s="1"/>
  <c r="AJ34" i="19" s="1"/>
  <c r="AK34" i="19" s="1"/>
  <c r="AL34" i="19" s="1"/>
  <c r="D34" i="19"/>
  <c r="E34" i="19" s="1"/>
  <c r="F34" i="19" s="1"/>
  <c r="G34" i="19" s="1"/>
  <c r="H34" i="19" s="1"/>
  <c r="I34" i="19" s="1"/>
  <c r="J34" i="19" s="1"/>
  <c r="K34" i="19" s="1"/>
  <c r="L34" i="19" s="1"/>
  <c r="M34" i="19" s="1"/>
  <c r="N34" i="19" s="1"/>
  <c r="O34" i="19" s="1"/>
  <c r="P34" i="19" s="1"/>
  <c r="Q34" i="19" s="1"/>
  <c r="R34" i="19" s="1"/>
  <c r="X23" i="19"/>
  <c r="Y23" i="19" s="1"/>
  <c r="Z23" i="19" s="1"/>
  <c r="AA23" i="19" s="1"/>
  <c r="AB23" i="19" s="1"/>
  <c r="AC23" i="19" s="1"/>
  <c r="AD23" i="19" s="1"/>
  <c r="AE23" i="19" s="1"/>
  <c r="AF23" i="19" s="1"/>
  <c r="AG23" i="19" s="1"/>
  <c r="AH23" i="19" s="1"/>
  <c r="AI23" i="19" s="1"/>
  <c r="AJ23" i="19" s="1"/>
  <c r="AK23" i="19" s="1"/>
  <c r="AL23" i="19" s="1"/>
  <c r="E23" i="19"/>
  <c r="F23" i="19" s="1"/>
  <c r="G23" i="19" s="1"/>
  <c r="H23" i="19" s="1"/>
  <c r="I23" i="19" s="1"/>
  <c r="J23" i="19" s="1"/>
  <c r="K23" i="19" s="1"/>
  <c r="L23" i="19" s="1"/>
  <c r="M23" i="19" s="1"/>
  <c r="N23" i="19" s="1"/>
  <c r="O23" i="19" s="1"/>
  <c r="P23" i="19" s="1"/>
  <c r="Q23" i="19" s="1"/>
  <c r="R23" i="19" s="1"/>
  <c r="D23" i="19"/>
  <c r="A9" i="5"/>
  <c r="A6" i="5"/>
  <c r="A38" i="18"/>
  <c r="A37" i="18"/>
  <c r="A36" i="18"/>
  <c r="A35" i="18"/>
  <c r="A34" i="18"/>
  <c r="A33" i="18"/>
  <c r="A32" i="18"/>
  <c r="A31" i="18"/>
  <c r="A30" i="18"/>
  <c r="A28" i="18"/>
  <c r="A27" i="18"/>
  <c r="A26" i="18"/>
  <c r="A25" i="18"/>
  <c r="A18" i="18"/>
  <c r="A16" i="18" l="1"/>
  <c r="A15" i="18"/>
</calcChain>
</file>

<file path=xl/sharedStrings.xml><?xml version="1.0" encoding="utf-8"?>
<sst xmlns="http://schemas.openxmlformats.org/spreadsheetml/2006/main" count="496" uniqueCount="175">
  <si>
    <t>Rack</t>
  </si>
  <si>
    <t>Slot 1 TCSM</t>
  </si>
  <si>
    <t>Slot 2 TCSM</t>
  </si>
  <si>
    <t>Slot 3 TCSM</t>
  </si>
  <si>
    <t>Slot 4 TCSM</t>
  </si>
  <si>
    <t>Slot 5 TCSM</t>
  </si>
  <si>
    <t>Slot 6 TCSM</t>
  </si>
  <si>
    <t>Slot 7 TCSM</t>
  </si>
  <si>
    <t>Slot 8 TCSM</t>
  </si>
  <si>
    <t>!*********** Create TCSM3i - Alvaro R. Mendoza ***********!</t>
  </si>
  <si>
    <t>!*********************************************************!</t>
  </si>
  <si>
    <t>Slot 9 TCSM</t>
  </si>
  <si>
    <t>Slot 10 TCSM</t>
  </si>
  <si>
    <t>Slot 11 TCSM</t>
  </si>
  <si>
    <t>Slot 12 TCSM</t>
  </si>
  <si>
    <t>Slot 13 TCSM</t>
  </si>
  <si>
    <t>Slot 14 TCSM</t>
  </si>
  <si>
    <t>Slot 15 TCSM</t>
  </si>
  <si>
    <t>Slot 16 TCSM</t>
  </si>
  <si>
    <t>THROUGH CONNECTIONS</t>
  </si>
  <si>
    <t>TCSM</t>
  </si>
  <si>
    <t>TCPCM</t>
  </si>
  <si>
    <t>A TSL</t>
  </si>
  <si>
    <t>ATER TSL</t>
  </si>
  <si>
    <t>ATER ET</t>
  </si>
  <si>
    <t>TSL</t>
  </si>
  <si>
    <t>!*********** Configure TCSMs - Alvaro R. Mendoza ***********!</t>
  </si>
  <si>
    <t>!**********************************************************!</t>
  </si>
  <si>
    <t>N° of Trough Connections</t>
  </si>
  <si>
    <t>Pool VoCodec</t>
  </si>
  <si>
    <t>Control BSCU</t>
  </si>
  <si>
    <t>BCSU</t>
  </si>
  <si>
    <t>CCSPCM</t>
  </si>
  <si>
    <t>Circuit Group (CGR)</t>
  </si>
  <si>
    <t>1-1&amp;&amp;-31</t>
  </si>
  <si>
    <t>1-1&amp;&amp;-15&amp;-17&amp;&amp;-31</t>
  </si>
  <si>
    <t>2-1&amp;&amp;-31</t>
  </si>
  <si>
    <t>3-1&amp;&amp;-31</t>
  </si>
  <si>
    <t>4-1&amp;&amp;-23</t>
  </si>
  <si>
    <t>4-1&amp;&amp;-27</t>
  </si>
  <si>
    <t>Circuits &amp; Speech Channels</t>
  </si>
  <si>
    <t>TCSM3i</t>
  </si>
  <si>
    <t>CLOC</t>
  </si>
  <si>
    <t>ETC 0</t>
  </si>
  <si>
    <t>ETC 1</t>
  </si>
  <si>
    <t>ETC 2</t>
  </si>
  <si>
    <t>C</t>
  </si>
  <si>
    <t>L</t>
  </si>
  <si>
    <t>ET</t>
  </si>
  <si>
    <t>T</t>
  </si>
  <si>
    <t>G</t>
  </si>
  <si>
    <t>TC2C 0</t>
  </si>
  <si>
    <t>TC2C 1</t>
  </si>
  <si>
    <t>CM</t>
  </si>
  <si>
    <t>CHM</t>
  </si>
  <si>
    <t>M</t>
  </si>
  <si>
    <t>TR</t>
  </si>
  <si>
    <t>3E</t>
  </si>
  <si>
    <t>Master</t>
  </si>
  <si>
    <t xml:space="preserve">TR3E plug-in units which control and supervise ET16 plug-in units in the A interface </t>
  </si>
  <si>
    <t>Cartridge Master</t>
  </si>
  <si>
    <t>TR3E plug-in unit which controls and supervises ET16 plug-in units in the A and Ater interfaces</t>
  </si>
  <si>
    <t>Cabinet Head Master</t>
  </si>
  <si>
    <t>TR3E plug-in unit which controls and supervises the TCSM3i cabinet clock</t>
  </si>
  <si>
    <t>TC2C 2</t>
  </si>
  <si>
    <t>TC2C 3</t>
  </si>
  <si>
    <t>TC2C 4</t>
  </si>
  <si>
    <t>TC2C 5</t>
  </si>
  <si>
    <t>PIU</t>
  </si>
  <si>
    <t>Not Used</t>
  </si>
  <si>
    <t>Cartridge</t>
  </si>
  <si>
    <t>Entire/Half</t>
  </si>
  <si>
    <t>1° Half</t>
  </si>
  <si>
    <t>2° Half</t>
  </si>
  <si>
    <t>Entire</t>
  </si>
  <si>
    <t>TC2C_0</t>
  </si>
  <si>
    <t>TC2C_1</t>
  </si>
  <si>
    <t>TC2C_2</t>
  </si>
  <si>
    <t>TC2C_3</t>
  </si>
  <si>
    <t>TC2C_4</t>
  </si>
  <si>
    <t>TC2C_5</t>
  </si>
  <si>
    <t>## TCSM3i Cartridges</t>
  </si>
  <si>
    <t>## Delete Cartridges</t>
  </si>
  <si>
    <t>!*********** Delete TCSM3i - Alvaro R. Mendoza ***********!</t>
  </si>
  <si>
    <t>1V</t>
  </si>
  <si>
    <t>## TCSM-872 (Slot 1 = Cartridge Master)</t>
  </si>
  <si>
    <t>ZWUD:TCSM,872:TR3E,0;</t>
  </si>
  <si>
    <t>ZWGD:872;</t>
  </si>
  <si>
    <t>ZWTQ:TCSM,872,1V1-3:ET16,0;</t>
  </si>
  <si>
    <t>ZWTQ:TCSM,872,1V5-0:ET16,1;</t>
  </si>
  <si>
    <t>ZWTQ:TCSM,872,1V5-0:TR3E,0;</t>
  </si>
  <si>
    <t>ZWTV:TCSM,872,1V1-3:;</t>
  </si>
  <si>
    <t>ZWTV:TCSM,872;</t>
  </si>
  <si>
    <t>## TCSM-876 (Slot 2 = Regular TCSM)</t>
  </si>
  <si>
    <t>ZWUD:TCSM,876:TR3E,0;</t>
  </si>
  <si>
    <t>ZWGD:876;</t>
  </si>
  <si>
    <t>ZWTQ:TCSM,876:1V5-0:TR3E,0;</t>
  </si>
  <si>
    <t>ZWTV:TCSM,876;</t>
  </si>
  <si>
    <t>## TCSM-880 (Slot 3 = Regular TCSM)</t>
  </si>
  <si>
    <t>ZWUD:TCSM,880:TR3E,0;</t>
  </si>
  <si>
    <t>ZWGD:880;</t>
  </si>
  <si>
    <t>ZWTQ:TCSM,880:TR3E,0;</t>
  </si>
  <si>
    <t>ZWTV:TCSM,880;</t>
  </si>
  <si>
    <t>## TCSM-884 (Slot 4 = Regular TCSM)</t>
  </si>
  <si>
    <t>ZWUD:TCSM,884:TR3E,0;</t>
  </si>
  <si>
    <t>ZWGD:884;</t>
  </si>
  <si>
    <t>ZWTQ:TCSM,884:TR3E,0;</t>
  </si>
  <si>
    <t>ZWTV:TCSM,884;</t>
  </si>
  <si>
    <t>## TCSM-888 (Slot 5 = Master)</t>
  </si>
  <si>
    <t>ZWUD:TCSM,888:TR3E,0;</t>
  </si>
  <si>
    <t>ZWGD:888;</t>
  </si>
  <si>
    <t>ZWTQ:TCSM,888,1V1-9:ET16,0;</t>
  </si>
  <si>
    <t>ZWTQ:TCSM,888,1V5-0:TR3E,0;</t>
  </si>
  <si>
    <t>ZWTV:TCSM,888,1V1-9:;</t>
  </si>
  <si>
    <t>ZWTV:TCSM,888;</t>
  </si>
  <si>
    <t>## TCSM-892 (Slot 6 = Regular TCSM)</t>
  </si>
  <si>
    <t>ZWUD:TCSM,892:TR3E,0;</t>
  </si>
  <si>
    <t>ZWGD:892;</t>
  </si>
  <si>
    <t>ZWTQ:TCSM,892:TR3E,0;</t>
  </si>
  <si>
    <t>ZWTV:TCSM,892;</t>
  </si>
  <si>
    <t>## TCSM-904 (Slot 7 = Regular TCSM)</t>
  </si>
  <si>
    <t>ZWUD:TCSM,904:TR3E,0;</t>
  </si>
  <si>
    <t>ZWGD:904;</t>
  </si>
  <si>
    <t>ZWTQ:TCSM,904:TR3E,0;</t>
  </si>
  <si>
    <t>ZWTV:TCSM,904;</t>
  </si>
  <si>
    <t>## TCSM-904 (Slot 8 = Regular TCSM)</t>
  </si>
  <si>
    <t>ZWUD:TCSM,908:TR3E,0;</t>
  </si>
  <si>
    <t>ZWGD:908;</t>
  </si>
  <si>
    <t>ZWTQ:TCSM,908:TR3E,0;</t>
  </si>
  <si>
    <t>ZWTV:TCSM,908;</t>
  </si>
  <si>
    <t>ZWTD:1V5-0;</t>
  </si>
  <si>
    <t>ZWTD:1V1-3;</t>
  </si>
  <si>
    <t>ZWTD:1V1-9;</t>
  </si>
  <si>
    <t>1F</t>
  </si>
  <si>
    <t>ZWTC:TC2C_A,1F4-0,:AL=1F1-0-2R5;</t>
  </si>
  <si>
    <t>ZWTC:GT4C_A,1F1-3,:AL=1F1-0-2S3;</t>
  </si>
  <si>
    <t>ZWTC:GT4C_A,1F1-6,:AL=1F1-0-4S3;</t>
  </si>
  <si>
    <t>ZWTC:FTRB_A,1F11-0,:AL=1F1-0-4S7;</t>
  </si>
  <si>
    <t>## TCSM-972 (Slot 1 = Cartridge Master)</t>
  </si>
  <si>
    <t>ZWTU:TCSM,972:1F4-0;</t>
  </si>
  <si>
    <t>ZWTU:TCSM,972:1F1-3;</t>
  </si>
  <si>
    <t>ZWTP:TCSM,972,1F1-3:ET16,0,3;</t>
  </si>
  <si>
    <t>ZWTP:TCSM,972,1F4-0:ET16,1,17;</t>
  </si>
  <si>
    <t>## TCSM-976 (Slot 2 = Regular TCSM)</t>
  </si>
  <si>
    <t>ZWTU:TCSM,976:1F4-0;</t>
  </si>
  <si>
    <t>## TCSM-980 (Slot 3 = Regular TCSM)</t>
  </si>
  <si>
    <t>ZWTU:TCSM,980:1F4-0;</t>
  </si>
  <si>
    <t>## TCSM-983 (Slot 4 = Regular TCSM)</t>
  </si>
  <si>
    <t>ZWTU:TCSM,983:1F4-0;</t>
  </si>
  <si>
    <t>## TCSM-984 (Slot 5 = Master)</t>
  </si>
  <si>
    <t>ZWTU:TCSM,984:1F4-0;</t>
  </si>
  <si>
    <t>ZWTU:TCSM,984:1F1-6;</t>
  </si>
  <si>
    <t>ZWTP:TCSM,984,1F1-6:ET16,0,5;</t>
  </si>
  <si>
    <t>## TCSM-988 (Slot 6 = Regular TCSM)</t>
  </si>
  <si>
    <t>ZWTU:TCSM,988:1F4-0;</t>
  </si>
  <si>
    <t>## TCSM-992 (Slot 7 = Regular TCSM)</t>
  </si>
  <si>
    <t>ZWTU:TCSM,992:1F4-0;</t>
  </si>
  <si>
    <t>## TCSM-994 (Slot 8 = Regular TCSM)</t>
  </si>
  <si>
    <t>ZWTU:TCSM,994:1F4-0;</t>
  </si>
  <si>
    <t>ZWTP:TCSM,972,1F4-0:TR3T,0,1::GENERAL,8,972,TSL,1;</t>
  </si>
  <si>
    <t>ZWUC:TCSM,972:TR3T,0;</t>
  </si>
  <si>
    <t>ZWTP:TCSM,976:TR3T,0,2::GENERAL,8,976,TSL,1;</t>
  </si>
  <si>
    <t>ZWUC:TCSM,976:TR3T,0;</t>
  </si>
  <si>
    <t>ZWTP:TCSM,980:TR3T,0,3::GENERAL,8,980,TSL,1;</t>
  </si>
  <si>
    <t>ZWUC:TCSM,980:TR3T,0;</t>
  </si>
  <si>
    <t>ZWTP:TCSM,983:TR3T,0,4::GENERAL,8,983,TSL,1;</t>
  </si>
  <si>
    <t>ZWUC:TCSM,983:TR3T,0;</t>
  </si>
  <si>
    <t>ZWTP:TCSM,984,1F4-0:TR3T,0,5::GENERAL,8,984,TSL,1;</t>
  </si>
  <si>
    <t>ZWUC:TCSM,984:TR3T,0;</t>
  </si>
  <si>
    <t>ZWTP:TCSM,988:TR3T,0,6::GENERAL,8,988,TSL,1;</t>
  </si>
  <si>
    <t>ZWUC:TCSM,988:TR3T,0;</t>
  </si>
  <si>
    <t>ZWTP:TCSM,992:TR3T,0,7::GENERAL,8,992,TSL,1;</t>
  </si>
  <si>
    <t>ZWUC:TCSM,992:TR3T,0;</t>
  </si>
  <si>
    <t>ZWTP:TCSM,994:TR3T,0,8::GENERAL,8,994,TSL,1;</t>
  </si>
  <si>
    <t>ZWUC:TCSM,994:TR3T,0;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</si>
</sst>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_);_(* \(#,##0\);_(* &quot;-&quot;_);_(@_)"/>
    <numFmt numFmtId="165" formatCode="_(* #,##0.00_);_(* \(#,##0.00\);_(* &quot;-&quot;??_);_(@_)"/>
    <numFmt numFmtId="166" formatCode="0.000_)"/>
    <numFmt numFmtId="167" formatCode="_([$€-2]* #,##0.00_);_([$€-2]* \(#,##0.00\);_([$€-2]* &quot;-&quot;??_)"/>
    <numFmt numFmtId="168" formatCode="_(&quot;R$&quot;* #,##0_);_(&quot;R$&quot;* \(#,##0\);_(&quot;R$&quot;* &quot;-&quot;_);_(@_)"/>
    <numFmt numFmtId="169" formatCode="_(&quot;R$&quot;* #,##0.00_);_(&quot;R$&quot;* \(#,##0.00\);_(&quot;R$&quot;* &quot;-&quot;??_);_(@_)"/>
    <numFmt numFmtId="170" formatCode="0.00_)"/>
    <numFmt numFmtId="171" formatCode="_ * #,##0_ ;_ * \-#,##0_ ;_ * &quot;-&quot;_ ;_ @_ "/>
    <numFmt numFmtId="172" formatCode="_ * #,##0.00_ ;_ * \-#,##0.00_ ;_ * &quot;-&quot;??_ ;_ @_ "/>
    <numFmt numFmtId="173" formatCode="_ &quot;￥&quot;* #,##0_ ;_ &quot;￥&quot;* \-#,##0_ ;_ &quot;￥&quot;* &quot;-&quot;_ ;_ @_ "/>
    <numFmt numFmtId="174" formatCode="_ &quot;￥&quot;* #,##0.00_ ;_ &quot;￥&quot;* \-#,##0.00_ ;_ &quot;￥&quot;* &quot;-&quot;??_ ;_ @_ "/>
  </numFmts>
  <fonts count="5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22"/>
      <name val="Arial"/>
      <family val="2"/>
    </font>
    <font>
      <b/>
      <sz val="8"/>
      <color indexed="9"/>
      <name val="Nokia Sans Wide"/>
      <family val="2"/>
    </font>
    <font>
      <b/>
      <sz val="8"/>
      <name val="Nokia Sans Wide"/>
      <family val="2"/>
    </font>
    <font>
      <b/>
      <sz val="8"/>
      <color theme="8" tint="-0.249977111117893"/>
      <name val="Nokia Sans Wide"/>
      <family val="2"/>
    </font>
    <font>
      <b/>
      <i/>
      <sz val="8"/>
      <name val="Nokia Sans Wide"/>
      <family val="2"/>
    </font>
    <font>
      <b/>
      <sz val="8"/>
      <color theme="8" tint="-0.249977111117893"/>
      <name val="Arial"/>
      <family val="2"/>
    </font>
    <font>
      <sz val="8"/>
      <color indexed="22"/>
      <name val="Nokia Sans Wide"/>
      <family val="2"/>
    </font>
    <font>
      <b/>
      <sz val="10"/>
      <name val="MS Sans"/>
    </font>
    <font>
      <sz val="10"/>
      <color indexed="8"/>
      <name val="MS Sans Serif"/>
      <family val="2"/>
    </font>
    <font>
      <sz val="12"/>
      <name val="Times New Roman"/>
      <family val="1"/>
    </font>
    <font>
      <sz val="10"/>
      <name val="Helv"/>
      <charset val="204"/>
    </font>
    <font>
      <sz val="11"/>
      <color indexed="63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2"/>
      <name val="Tms Rmn"/>
    </font>
    <font>
      <sz val="11"/>
      <color indexed="17"/>
      <name val="Calibri"/>
      <family val="2"/>
    </font>
    <font>
      <b/>
      <sz val="11"/>
      <color indexed="14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name val="Tms Rmn"/>
    </font>
    <font>
      <sz val="8"/>
      <name val="Arial Narrow"/>
      <family val="2"/>
    </font>
    <font>
      <sz val="10"/>
      <name val="Arial Bold"/>
    </font>
    <font>
      <sz val="8"/>
      <name val="Arial Narow"/>
    </font>
    <font>
      <sz val="10"/>
      <name val="Geneva"/>
    </font>
    <font>
      <i/>
      <sz val="11"/>
      <color indexed="23"/>
      <name val="Calibri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"/>
      <family val="2"/>
    </font>
    <font>
      <u/>
      <sz val="8.25"/>
      <color indexed="36"/>
      <name val="Arial"/>
      <family val="2"/>
    </font>
    <font>
      <sz val="11"/>
      <color indexed="62"/>
      <name val="Calibri"/>
      <family val="2"/>
    </font>
    <font>
      <sz val="11"/>
      <name val="Arial"/>
      <family val="2"/>
    </font>
    <font>
      <sz val="11"/>
      <color indexed="14"/>
      <name val="Calibri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0"/>
      <name val="Courier New"/>
      <family val="3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1"/>
      <name val="Times New Roman"/>
      <family val="1"/>
    </font>
    <font>
      <b/>
      <sz val="18"/>
      <color indexed="62"/>
      <name val="Cambria"/>
      <family val="2"/>
    </font>
    <font>
      <b/>
      <sz val="11"/>
      <color indexed="56"/>
      <name val="Calibri"/>
      <family val="2"/>
    </font>
    <font>
      <sz val="12"/>
      <name val="新細明體"/>
      <family val="1"/>
      <charset val="136"/>
    </font>
    <font>
      <sz val="12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60"/>
      </patternFill>
    </fill>
    <fill>
      <patternFill patternType="solid">
        <fgColor indexed="19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9"/>
      </patternFill>
    </fill>
    <fill>
      <patternFill patternType="solid">
        <fgColor indexed="16"/>
      </patternFill>
    </fill>
    <fill>
      <patternFill patternType="solid">
        <fgColor indexed="54"/>
      </patternFill>
    </fill>
    <fill>
      <patternFill patternType="solid">
        <fgColor indexed="14"/>
      </patternFill>
    </fill>
    <fill>
      <patternFill patternType="solid">
        <fgColor indexed="55"/>
      </patternFill>
    </fill>
    <fill>
      <patternFill patternType="solid">
        <fgColor indexed="13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</fills>
  <borders count="8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 style="thin">
        <color theme="4" tint="0.7999816888943144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59996337778862885"/>
      </bottom>
      <diagonal/>
    </border>
    <border>
      <left style="medium">
        <color indexed="64"/>
      </left>
      <right style="medium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indexed="64"/>
      </left>
      <right style="medium">
        <color indexed="64"/>
      </right>
      <top style="thin">
        <color theme="3" tint="0.59996337778862885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0"/>
      </bottom>
      <diagonal/>
    </border>
    <border>
      <left/>
      <right/>
      <top/>
      <bottom style="medium">
        <color indexed="60"/>
      </bottom>
      <diagonal/>
    </border>
    <border>
      <left/>
      <right/>
      <top/>
      <bottom style="double">
        <color indexed="1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9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3" fillId="0" borderId="0"/>
    <xf numFmtId="0" fontId="3" fillId="0" borderId="0"/>
    <xf numFmtId="0" fontId="3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3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>
      <protection locked="0"/>
    </xf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5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21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19" borderId="0" applyNumberFormat="0" applyBorder="0" applyAlignment="0" applyProtection="0"/>
    <xf numFmtId="0" fontId="17" fillId="22" borderId="0" applyNumberFormat="0" applyBorder="0" applyAlignment="0" applyProtection="0"/>
    <xf numFmtId="0" fontId="17" fillId="25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21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8" fillId="26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28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28" borderId="0" applyNumberFormat="0" applyBorder="0" applyAlignment="0" applyProtection="0"/>
    <xf numFmtId="0" fontId="18" fillId="33" borderId="0" applyNumberFormat="0" applyBorder="0" applyAlignment="0" applyProtection="0"/>
    <xf numFmtId="0" fontId="19" fillId="17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18" borderId="0" applyNumberFormat="0" applyBorder="0" applyAlignment="0" applyProtection="0"/>
    <xf numFmtId="0" fontId="22" fillId="14" borderId="70" applyNumberFormat="0" applyAlignment="0" applyProtection="0"/>
    <xf numFmtId="0" fontId="23" fillId="34" borderId="71" applyNumberFormat="0" applyAlignment="0" applyProtection="0"/>
    <xf numFmtId="0" fontId="24" fillId="0" borderId="72" applyNumberFormat="0" applyFill="0" applyAlignment="0" applyProtection="0"/>
    <xf numFmtId="0" fontId="23" fillId="34" borderId="71" applyNumberFormat="0" applyAlignment="0" applyProtection="0"/>
    <xf numFmtId="166" fontId="25" fillId="0" borderId="0"/>
    <xf numFmtId="166" fontId="25" fillId="0" borderId="0"/>
    <xf numFmtId="166" fontId="25" fillId="0" borderId="0"/>
    <xf numFmtId="166" fontId="25" fillId="0" borderId="0"/>
    <xf numFmtId="166" fontId="25" fillId="0" borderId="0"/>
    <xf numFmtId="166" fontId="25" fillId="0" borderId="0"/>
    <xf numFmtId="166" fontId="25" fillId="0" borderId="0"/>
    <xf numFmtId="166" fontId="25" fillId="0" borderId="0"/>
    <xf numFmtId="49" fontId="26" fillId="0" borderId="73">
      <alignment horizontal="center" vertical="center" wrapText="1"/>
      <protection locked="0"/>
    </xf>
    <xf numFmtId="49" fontId="27" fillId="35" borderId="74">
      <alignment horizontal="left" vertical="center"/>
      <protection locked="0"/>
    </xf>
    <xf numFmtId="49" fontId="27" fillId="24" borderId="74">
      <alignment horizontal="left" vertical="center"/>
      <protection locked="0"/>
    </xf>
    <xf numFmtId="49" fontId="26" fillId="36" borderId="73">
      <alignment horizontal="centerContinuous" vertical="center" wrapText="1"/>
      <protection locked="0"/>
    </xf>
    <xf numFmtId="49" fontId="26" fillId="36" borderId="73">
      <alignment horizontal="centerContinuous" vertical="center" wrapText="1"/>
      <protection locked="0"/>
    </xf>
    <xf numFmtId="49" fontId="26" fillId="37" borderId="73">
      <alignment horizontal="centerContinuous" vertical="center" wrapText="1"/>
      <protection locked="0"/>
    </xf>
    <xf numFmtId="49" fontId="28" fillId="35" borderId="73">
      <alignment horizontal="left" vertical="center"/>
      <protection locked="0"/>
    </xf>
    <xf numFmtId="49" fontId="28" fillId="24" borderId="73">
      <alignment horizontal="left" vertical="center"/>
      <protection locked="0"/>
    </xf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41" borderId="0" applyNumberFormat="0" applyBorder="0" applyAlignment="0" applyProtection="0"/>
    <xf numFmtId="0" fontId="4" fillId="42" borderId="75"/>
    <xf numFmtId="0" fontId="13" fillId="0" borderId="0" applyNumberFormat="0" applyFill="0" applyBorder="0" applyAlignment="0" applyProtection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0" borderId="0"/>
    <xf numFmtId="0" fontId="3" fillId="0" borderId="0"/>
    <xf numFmtId="167" fontId="3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21" fillId="18" borderId="0" applyNumberFormat="0" applyBorder="0" applyAlignment="0" applyProtection="0"/>
    <xf numFmtId="38" fontId="4" fillId="43" borderId="0" applyNumberFormat="0" applyBorder="0" applyAlignment="0" applyProtection="0"/>
    <xf numFmtId="0" fontId="31" fillId="0" borderId="34" applyNumberFormat="0" applyAlignment="0" applyProtection="0">
      <alignment horizontal="left" vertical="center"/>
    </xf>
    <xf numFmtId="0" fontId="31" fillId="0" borderId="68">
      <alignment horizontal="left" vertical="center"/>
    </xf>
    <xf numFmtId="0" fontId="32" fillId="0" borderId="76" applyNumberFormat="0" applyFill="0" applyAlignment="0" applyProtection="0"/>
    <xf numFmtId="0" fontId="33" fillId="0" borderId="77" applyNumberFormat="0" applyFill="0" applyAlignment="0" applyProtection="0"/>
    <xf numFmtId="0" fontId="34" fillId="0" borderId="78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19" fillId="17" borderId="0" applyNumberFormat="0" applyBorder="0" applyAlignment="0" applyProtection="0"/>
    <xf numFmtId="0" fontId="37" fillId="15" borderId="70" applyNumberFormat="0" applyAlignment="0" applyProtection="0"/>
    <xf numFmtId="10" fontId="4" fillId="44" borderId="75" applyNumberFormat="0" applyBorder="0" applyAlignment="0" applyProtection="0"/>
    <xf numFmtId="0" fontId="38" fillId="0" borderId="0"/>
    <xf numFmtId="0" fontId="39" fillId="0" borderId="79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0" fontId="40" fillId="45" borderId="0" applyNumberFormat="0" applyBorder="0" applyAlignment="0" applyProtection="0"/>
    <xf numFmtId="37" fontId="41" fillId="0" borderId="0"/>
    <xf numFmtId="170" fontId="4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43" fillId="0" borderId="0"/>
    <xf numFmtId="0" fontId="3" fillId="46" borderId="80" applyNumberFormat="0" applyFont="0" applyAlignment="0" applyProtection="0"/>
    <xf numFmtId="0" fontId="3" fillId="46" borderId="80" applyNumberFormat="0" applyFont="0" applyAlignment="0" applyProtection="0"/>
    <xf numFmtId="0" fontId="44" fillId="14" borderId="81" applyNumberFormat="0" applyAlignment="0" applyProtection="0"/>
    <xf numFmtId="10" fontId="3" fillId="0" borderId="0" applyFont="0" applyFill="0" applyBorder="0" applyAlignment="0" applyProtection="0"/>
    <xf numFmtId="0" fontId="4" fillId="43" borderId="75"/>
    <xf numFmtId="0" fontId="44" fillId="21" borderId="81" applyNumberFormat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8" fillId="0" borderId="0"/>
    <xf numFmtId="0" fontId="13" fillId="0" borderId="0" applyNumberFormat="0" applyFill="0" applyBorder="0" applyAlignment="0" applyProtection="0"/>
    <xf numFmtId="0" fontId="3" fillId="0" borderId="0"/>
    <xf numFmtId="0" fontId="45" fillId="0" borderId="0" applyNumberFormat="0" applyFill="0" applyBorder="0" applyAlignment="0" applyProtection="0"/>
    <xf numFmtId="40" fontId="46" fillId="0" borderId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9" fillId="0" borderId="0"/>
    <xf numFmtId="171" fontId="50" fillId="0" borderId="0" applyFont="0" applyFill="0" applyBorder="0" applyAlignment="0" applyProtection="0"/>
    <xf numFmtId="172" fontId="50" fillId="0" borderId="0" applyFont="0" applyFill="0" applyBorder="0" applyAlignment="0" applyProtection="0"/>
    <xf numFmtId="0" fontId="50" fillId="0" borderId="0"/>
    <xf numFmtId="173" fontId="50" fillId="0" borderId="0" applyFont="0" applyFill="0" applyBorder="0" applyAlignment="0" applyProtection="0"/>
    <xf numFmtId="174" fontId="50" fillId="0" borderId="0" applyFont="0" applyFill="0" applyBorder="0" applyAlignment="0" applyProtection="0"/>
  </cellStyleXfs>
  <cellXfs count="14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4" borderId="5" xfId="0" applyFill="1" applyBorder="1"/>
    <xf numFmtId="0" fontId="1" fillId="4" borderId="8" xfId="0" applyFont="1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4" borderId="13" xfId="0" applyFill="1" applyBorder="1"/>
    <xf numFmtId="0" fontId="0" fillId="4" borderId="8" xfId="0" applyFill="1" applyBorder="1"/>
    <xf numFmtId="0" fontId="0" fillId="5" borderId="9" xfId="0" applyFill="1" applyBorder="1"/>
    <xf numFmtId="0" fontId="2" fillId="2" borderId="1" xfId="0" applyFont="1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1" fillId="4" borderId="5" xfId="0" applyFont="1" applyFill="1" applyBorder="1"/>
    <xf numFmtId="0" fontId="1" fillId="4" borderId="13" xfId="0" applyFont="1" applyFill="1" applyBorder="1"/>
    <xf numFmtId="0" fontId="0" fillId="3" borderId="33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3" fillId="0" borderId="35" xfId="1" applyFill="1" applyBorder="1"/>
    <xf numFmtId="0" fontId="3" fillId="0" borderId="0" xfId="1"/>
    <xf numFmtId="0" fontId="3" fillId="0" borderId="0" xfId="1" applyFill="1" applyBorder="1"/>
    <xf numFmtId="0" fontId="4" fillId="0" borderId="0" xfId="1" applyFont="1"/>
    <xf numFmtId="0" fontId="4" fillId="7" borderId="18" xfId="1" applyFont="1" applyFill="1" applyBorder="1"/>
    <xf numFmtId="0" fontId="4" fillId="7" borderId="44" xfId="1" applyFont="1" applyFill="1" applyBorder="1"/>
    <xf numFmtId="0" fontId="4" fillId="7" borderId="19" xfId="1" applyFont="1" applyFill="1" applyBorder="1"/>
    <xf numFmtId="0" fontId="4" fillId="7" borderId="14" xfId="1" applyFont="1" applyFill="1" applyBorder="1"/>
    <xf numFmtId="0" fontId="4" fillId="7" borderId="0" xfId="1" applyFont="1" applyFill="1" applyBorder="1"/>
    <xf numFmtId="0" fontId="4" fillId="7" borderId="15" xfId="1" applyFont="1" applyFill="1" applyBorder="1"/>
    <xf numFmtId="0" fontId="7" fillId="9" borderId="49" xfId="1" applyFont="1" applyFill="1" applyBorder="1" applyAlignment="1">
      <alignment horizontal="center"/>
    </xf>
    <xf numFmtId="0" fontId="7" fillId="10" borderId="50" xfId="1" applyFont="1" applyFill="1" applyBorder="1" applyAlignment="1">
      <alignment horizontal="center"/>
    </xf>
    <xf numFmtId="0" fontId="7" fillId="9" borderId="51" xfId="1" applyFont="1" applyFill="1" applyBorder="1" applyAlignment="1">
      <alignment horizontal="center"/>
    </xf>
    <xf numFmtId="0" fontId="7" fillId="9" borderId="52" xfId="1" applyFont="1" applyFill="1" applyBorder="1" applyAlignment="1">
      <alignment horizontal="center"/>
    </xf>
    <xf numFmtId="0" fontId="7" fillId="9" borderId="53" xfId="1" applyFont="1" applyFill="1" applyBorder="1" applyAlignment="1">
      <alignment horizontal="center"/>
    </xf>
    <xf numFmtId="0" fontId="7" fillId="7" borderId="0" xfId="1" applyFont="1" applyFill="1" applyBorder="1" applyAlignment="1">
      <alignment horizontal="center"/>
    </xf>
    <xf numFmtId="0" fontId="7" fillId="9" borderId="14" xfId="1" applyFont="1" applyFill="1" applyBorder="1" applyAlignment="1">
      <alignment horizontal="center"/>
    </xf>
    <xf numFmtId="0" fontId="7" fillId="10" borderId="56" xfId="1" applyFont="1" applyFill="1" applyBorder="1" applyAlignment="1">
      <alignment horizontal="center"/>
    </xf>
    <xf numFmtId="0" fontId="7" fillId="9" borderId="57" xfId="1" applyFont="1" applyFill="1" applyBorder="1" applyAlignment="1">
      <alignment horizontal="center"/>
    </xf>
    <xf numFmtId="0" fontId="7" fillId="9" borderId="58" xfId="1" applyFont="1" applyFill="1" applyBorder="1" applyAlignment="1">
      <alignment horizontal="center"/>
    </xf>
    <xf numFmtId="0" fontId="7" fillId="9" borderId="15" xfId="1" applyFont="1" applyFill="1" applyBorder="1" applyAlignment="1">
      <alignment horizontal="center"/>
    </xf>
    <xf numFmtId="0" fontId="7" fillId="9" borderId="16" xfId="1" applyFont="1" applyFill="1" applyBorder="1" applyAlignment="1">
      <alignment horizontal="center"/>
    </xf>
    <xf numFmtId="0" fontId="7" fillId="10" borderId="61" xfId="1" applyFont="1" applyFill="1" applyBorder="1" applyAlignment="1">
      <alignment horizontal="center"/>
    </xf>
    <xf numFmtId="0" fontId="7" fillId="9" borderId="62" xfId="1" applyFont="1" applyFill="1" applyBorder="1" applyAlignment="1">
      <alignment horizontal="center"/>
    </xf>
    <xf numFmtId="0" fontId="7" fillId="9" borderId="63" xfId="1" applyFont="1" applyFill="1" applyBorder="1" applyAlignment="1">
      <alignment horizontal="center"/>
    </xf>
    <xf numFmtId="0" fontId="7" fillId="9" borderId="17" xfId="1" applyFont="1" applyFill="1" applyBorder="1" applyAlignment="1">
      <alignment horizontal="center"/>
    </xf>
    <xf numFmtId="0" fontId="7" fillId="7" borderId="58" xfId="1" applyFont="1" applyFill="1" applyBorder="1" applyAlignment="1">
      <alignment horizontal="center"/>
    </xf>
    <xf numFmtId="0" fontId="7" fillId="7" borderId="66" xfId="1" applyFont="1" applyFill="1" applyBorder="1" applyAlignment="1">
      <alignment horizontal="center"/>
    </xf>
    <xf numFmtId="0" fontId="8" fillId="7" borderId="0" xfId="1" applyFont="1" applyFill="1" applyBorder="1" applyAlignment="1">
      <alignment horizontal="center"/>
    </xf>
    <xf numFmtId="0" fontId="7" fillId="7" borderId="57" xfId="1" applyFont="1" applyFill="1" applyBorder="1" applyAlignment="1">
      <alignment horizontal="center"/>
    </xf>
    <xf numFmtId="0" fontId="8" fillId="7" borderId="58" xfId="1" applyFont="1" applyFill="1" applyBorder="1" applyAlignment="1">
      <alignment horizontal="center"/>
    </xf>
    <xf numFmtId="0" fontId="7" fillId="11" borderId="18" xfId="1" applyFont="1" applyFill="1" applyBorder="1" applyAlignment="1">
      <alignment horizontal="left"/>
    </xf>
    <xf numFmtId="0" fontId="9" fillId="11" borderId="44" xfId="1" applyFont="1" applyFill="1" applyBorder="1" applyAlignment="1">
      <alignment horizontal="left"/>
    </xf>
    <xf numFmtId="0" fontId="7" fillId="11" borderId="44" xfId="1" applyFont="1" applyFill="1" applyBorder="1" applyAlignment="1">
      <alignment horizontal="center"/>
    </xf>
    <xf numFmtId="0" fontId="7" fillId="11" borderId="44" xfId="1" applyFont="1" applyFill="1" applyBorder="1" applyAlignment="1">
      <alignment horizontal="left"/>
    </xf>
    <xf numFmtId="0" fontId="7" fillId="11" borderId="19" xfId="1" applyFont="1" applyFill="1" applyBorder="1" applyAlignment="1">
      <alignment horizontal="center"/>
    </xf>
    <xf numFmtId="0" fontId="7" fillId="11" borderId="14" xfId="1" applyFont="1" applyFill="1" applyBorder="1" applyAlignment="1">
      <alignment horizontal="left"/>
    </xf>
    <xf numFmtId="0" fontId="9" fillId="11" borderId="0" xfId="1" applyFont="1" applyFill="1" applyBorder="1" applyAlignment="1">
      <alignment horizontal="left"/>
    </xf>
    <xf numFmtId="0" fontId="7" fillId="11" borderId="0" xfId="1" applyFont="1" applyFill="1" applyBorder="1" applyAlignment="1">
      <alignment horizontal="center"/>
    </xf>
    <xf numFmtId="0" fontId="7" fillId="11" borderId="0" xfId="1" applyFont="1" applyFill="1" applyBorder="1" applyAlignment="1">
      <alignment horizontal="left"/>
    </xf>
    <xf numFmtId="0" fontId="7" fillId="11" borderId="15" xfId="1" applyFont="1" applyFill="1" applyBorder="1" applyAlignment="1">
      <alignment horizontal="center"/>
    </xf>
    <xf numFmtId="0" fontId="7" fillId="11" borderId="16" xfId="1" applyFont="1" applyFill="1" applyBorder="1" applyAlignment="1">
      <alignment horizontal="left"/>
    </xf>
    <xf numFmtId="0" fontId="7" fillId="11" borderId="45" xfId="1" applyFont="1" applyFill="1" applyBorder="1" applyAlignment="1">
      <alignment horizontal="center"/>
    </xf>
    <xf numFmtId="0" fontId="9" fillId="11" borderId="45" xfId="1" applyFont="1" applyFill="1" applyBorder="1" applyAlignment="1">
      <alignment horizontal="left"/>
    </xf>
    <xf numFmtId="0" fontId="7" fillId="11" borderId="45" xfId="1" applyFont="1" applyFill="1" applyBorder="1" applyAlignment="1">
      <alignment horizontal="left"/>
    </xf>
    <xf numFmtId="0" fontId="7" fillId="11" borderId="17" xfId="1" applyFont="1" applyFill="1" applyBorder="1" applyAlignment="1">
      <alignment horizontal="center"/>
    </xf>
    <xf numFmtId="0" fontId="10" fillId="7" borderId="0" xfId="1" applyFont="1" applyFill="1" applyBorder="1"/>
    <xf numFmtId="0" fontId="4" fillId="7" borderId="16" xfId="1" applyFont="1" applyFill="1" applyBorder="1"/>
    <xf numFmtId="0" fontId="11" fillId="7" borderId="45" xfId="1" applyFont="1" applyFill="1" applyBorder="1" applyAlignment="1">
      <alignment horizontal="center"/>
    </xf>
    <xf numFmtId="0" fontId="4" fillId="7" borderId="45" xfId="1" applyFont="1" applyFill="1" applyBorder="1"/>
    <xf numFmtId="0" fontId="4" fillId="7" borderId="17" xfId="1" applyFont="1" applyFill="1" applyBorder="1"/>
    <xf numFmtId="0" fontId="0" fillId="2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0" fillId="2" borderId="82" xfId="0" applyFill="1" applyBorder="1"/>
    <xf numFmtId="0" fontId="0" fillId="2" borderId="83" xfId="0" applyFill="1" applyBorder="1"/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0" fillId="4" borderId="85" xfId="0" applyFill="1" applyBorder="1" applyAlignment="1">
      <alignment horizontal="left" vertical="center"/>
    </xf>
    <xf numFmtId="0" fontId="7" fillId="47" borderId="54" xfId="1" applyFont="1" applyFill="1" applyBorder="1" applyAlignment="1">
      <alignment horizontal="center"/>
    </xf>
    <xf numFmtId="0" fontId="7" fillId="47" borderId="50" xfId="1" applyFont="1" applyFill="1" applyBorder="1" applyAlignment="1">
      <alignment horizontal="center"/>
    </xf>
    <xf numFmtId="0" fontId="7" fillId="47" borderId="55" xfId="1" applyFont="1" applyFill="1" applyBorder="1" applyAlignment="1">
      <alignment horizontal="center"/>
    </xf>
    <xf numFmtId="0" fontId="7" fillId="47" borderId="59" xfId="1" applyFont="1" applyFill="1" applyBorder="1" applyAlignment="1">
      <alignment horizontal="center"/>
    </xf>
    <xf numFmtId="0" fontId="7" fillId="47" borderId="56" xfId="1" applyFont="1" applyFill="1" applyBorder="1" applyAlignment="1">
      <alignment horizontal="center"/>
    </xf>
    <xf numFmtId="0" fontId="7" fillId="47" borderId="60" xfId="1" applyFont="1" applyFill="1" applyBorder="1" applyAlignment="1">
      <alignment horizontal="center"/>
    </xf>
    <xf numFmtId="0" fontId="7" fillId="47" borderId="64" xfId="1" applyFont="1" applyFill="1" applyBorder="1" applyAlignment="1">
      <alignment horizontal="center"/>
    </xf>
    <xf numFmtId="0" fontId="7" fillId="47" borderId="61" xfId="1" applyFont="1" applyFill="1" applyBorder="1" applyAlignment="1">
      <alignment horizontal="center"/>
    </xf>
    <xf numFmtId="0" fontId="7" fillId="47" borderId="65" xfId="1" applyFont="1" applyFill="1" applyBorder="1" applyAlignment="1">
      <alignment horizontal="center"/>
    </xf>
    <xf numFmtId="0" fontId="0" fillId="3" borderId="84" xfId="0" applyFill="1" applyBorder="1" applyAlignment="1" applyProtection="1">
      <alignment horizontal="center" vertical="center"/>
    </xf>
    <xf numFmtId="0" fontId="7" fillId="47" borderId="56" xfId="1" applyFont="1" applyFill="1" applyBorder="1" applyAlignment="1">
      <alignment horizontal="left"/>
    </xf>
    <xf numFmtId="0" fontId="2" fillId="2" borderId="1" xfId="0" applyFont="1" applyFill="1" applyBorder="1"/>
    <xf numFmtId="0" fontId="0" fillId="3" borderId="26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4" fillId="10" borderId="67" xfId="1" applyFont="1" applyFill="1" applyBorder="1" applyAlignment="1">
      <alignment horizontal="center"/>
    </xf>
    <xf numFmtId="0" fontId="4" fillId="10" borderId="68" xfId="1" applyFont="1" applyFill="1" applyBorder="1" applyAlignment="1">
      <alignment horizontal="center"/>
    </xf>
    <xf numFmtId="0" fontId="4" fillId="10" borderId="69" xfId="1" applyFont="1" applyFill="1" applyBorder="1" applyAlignment="1">
      <alignment horizontal="center"/>
    </xf>
    <xf numFmtId="0" fontId="4" fillId="47" borderId="67" xfId="1" applyFont="1" applyFill="1" applyBorder="1" applyAlignment="1">
      <alignment horizontal="center"/>
    </xf>
    <xf numFmtId="0" fontId="4" fillId="47" borderId="68" xfId="1" applyFont="1" applyFill="1" applyBorder="1" applyAlignment="1">
      <alignment horizontal="center"/>
    </xf>
    <xf numFmtId="0" fontId="4" fillId="47" borderId="69" xfId="1" applyFont="1" applyFill="1" applyBorder="1" applyAlignment="1">
      <alignment horizontal="center"/>
    </xf>
    <xf numFmtId="0" fontId="6" fillId="8" borderId="46" xfId="1" applyFont="1" applyFill="1" applyBorder="1" applyAlignment="1">
      <alignment horizontal="center"/>
    </xf>
    <xf numFmtId="0" fontId="6" fillId="8" borderId="47" xfId="1" applyFont="1" applyFill="1" applyBorder="1" applyAlignment="1">
      <alignment horizontal="center"/>
    </xf>
    <xf numFmtId="0" fontId="6" fillId="8" borderId="48" xfId="1" applyFont="1" applyFill="1" applyBorder="1" applyAlignment="1">
      <alignment horizontal="center"/>
    </xf>
    <xf numFmtId="0" fontId="3" fillId="0" borderId="36" xfId="1" applyFill="1" applyBorder="1" applyAlignment="1">
      <alignment horizontal="center"/>
    </xf>
    <xf numFmtId="0" fontId="3" fillId="0" borderId="37" xfId="1" applyFill="1" applyBorder="1" applyAlignment="1">
      <alignment horizontal="center"/>
    </xf>
    <xf numFmtId="0" fontId="3" fillId="0" borderId="38" xfId="1" applyFill="1" applyBorder="1" applyAlignment="1">
      <alignment horizontal="center"/>
    </xf>
    <xf numFmtId="0" fontId="3" fillId="0" borderId="39" xfId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0" fontId="3" fillId="0" borderId="35" xfId="1" applyFill="1" applyBorder="1" applyAlignment="1">
      <alignment horizontal="center"/>
    </xf>
    <xf numFmtId="0" fontId="3" fillId="0" borderId="40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3" xfId="1" applyFill="1" applyBorder="1" applyAlignment="1">
      <alignment horizontal="center"/>
    </xf>
    <xf numFmtId="0" fontId="5" fillId="6" borderId="18" xfId="1" applyFont="1" applyFill="1" applyBorder="1" applyAlignment="1">
      <alignment horizontal="center" vertical="center" wrapText="1"/>
    </xf>
    <xf numFmtId="0" fontId="5" fillId="6" borderId="44" xfId="1" applyFont="1" applyFill="1" applyBorder="1" applyAlignment="1">
      <alignment horizontal="center" vertical="center" wrapText="1"/>
    </xf>
    <xf numFmtId="0" fontId="5" fillId="6" borderId="19" xfId="1" applyFont="1" applyFill="1" applyBorder="1" applyAlignment="1">
      <alignment horizontal="center" vertical="center" wrapText="1"/>
    </xf>
    <xf numFmtId="0" fontId="5" fillId="6" borderId="16" xfId="1" applyFont="1" applyFill="1" applyBorder="1" applyAlignment="1">
      <alignment horizontal="center" vertical="center" wrapText="1"/>
    </xf>
    <xf numFmtId="0" fontId="5" fillId="6" borderId="45" xfId="1" applyFont="1" applyFill="1" applyBorder="1" applyAlignment="1">
      <alignment horizontal="center" vertical="center" wrapText="1"/>
    </xf>
    <xf numFmtId="0" fontId="5" fillId="6" borderId="17" xfId="1" applyFont="1" applyFill="1" applyBorder="1" applyAlignment="1">
      <alignment horizontal="center" vertical="center" wrapText="1"/>
    </xf>
    <xf numFmtId="0" fontId="4" fillId="0" borderId="34" xfId="1" applyFont="1" applyBorder="1" applyAlignment="1">
      <alignment horizontal="center"/>
    </xf>
  </cellXfs>
  <cellStyles count="292">
    <cellStyle name=" Task]_x000d__x000a_TaskName=Scan At_x000d__x000a_TaskID=3_x000d__x000a_WorkstationName=SmarTone_x000d__x000a_LastExecuted=0_x000d__x000a_LastSt" xfId="2"/>
    <cellStyle name=" Task]_x000d__x000a_TaskName=Scan At_x000d__x000a_TaskID=3_x000d__x000a_WorkstationName=SmarTone_x000d__x000a_LastExecuted=0_x000d__x000a_LastSt 2" xfId="3"/>
    <cellStyle name="_x0007__x000b_" xfId="4"/>
    <cellStyle name="%" xfId="5"/>
    <cellStyle name="%_Agua Verde Site Installation Planning Oi Project V1 090703" xfId="6"/>
    <cellStyle name="%_Boa Agua Verde Planning Oi Project V1 090703" xfId="7"/>
    <cellStyle name="%_Boa Agua Verde Planning Oi Project V1 090703_ETC CORE MGW02CTA" xfId="8"/>
    <cellStyle name="%_Boa Agua Verde Planning Oi Project V1 090703_PDI_MGW01CTA_03_20090716" xfId="9"/>
    <cellStyle name="%_Boa Vista Site Planning Oi Project V1 090702" xfId="10"/>
    <cellStyle name="%_Boa Vista Site Planning Oi Project V1 090702_ETC CORE MGW02CTA" xfId="11"/>
    <cellStyle name="%_Boa Vista Site Planning Oi Project V1 090702_PDI_MGW02CTA_20090703" xfId="12"/>
    <cellStyle name="%_Boa Vista Site Planning Oi Project V1 090706" xfId="13"/>
    <cellStyle name="%_PDI_HLR44CTA_20090703" xfId="14"/>
    <cellStyle name="%_PDI_MGW01CTA_03_20090716" xfId="15"/>
    <cellStyle name="%_PDI_ROT01CSL_2009.07.16" xfId="16"/>
    <cellStyle name="%_PDI_ROT01CTA_20090702" xfId="17"/>
    <cellStyle name="%_Sheet2" xfId="18"/>
    <cellStyle name="%_TSS_CTABV_V7_20090607" xfId="19"/>
    <cellStyle name="%_TSS_HLR40CTA_07_20090708" xfId="20"/>
    <cellStyle name="%_TSS_MGW02CTA_20090603" xfId="21"/>
    <cellStyle name="%_TSS_MGW02CTA_V6_20090603" xfId="22"/>
    <cellStyle name="%_TSS_MGW02CTA_V6_20090603_PDI_MGW02CTA_20090703" xfId="23"/>
    <cellStyle name="%_TSSR_SGSN01CTA_V10_20090717" xfId="24"/>
    <cellStyle name="_2 Alterações" xfId="25"/>
    <cellStyle name="_5 Análise de GT" xfId="26"/>
    <cellStyle name="_BoQ-Fase-20" xfId="27"/>
    <cellStyle name="_BoQ-Fase-20_Boa Vista Site Planning Oi Project V1 090702" xfId="28"/>
    <cellStyle name="_BoQ-Fase-20_Boa Vista Site Planning Oi Project V1 090702_ETC CORE MGW02CTA" xfId="29"/>
    <cellStyle name="_BoQ-Fase-20_Boa Vista Site Planning Oi Project V1 090702_PDI_MGW02CTA_20090703" xfId="30"/>
    <cellStyle name="_BoQ-Fase-20_Boa Vista Site Planning Oi Project V1 090706" xfId="31"/>
    <cellStyle name="_BoQ-Fase-20_DND_MGW01BNU_v1.2" xfId="32"/>
    <cellStyle name="_BoQ-Fase-20_MGW01SMA Site Survey MGWU4 v03 20090701" xfId="33"/>
    <cellStyle name="_BoQ-Fase-20_PDI_HLR44CTA_20090703" xfId="34"/>
    <cellStyle name="_BoQ-Fase-20_PDI_MGW01CTA_03_20090716" xfId="35"/>
    <cellStyle name="_BoQ-Fase-20_PDI_ROT01CSL_2009.07.16" xfId="36"/>
    <cellStyle name="_BoQ-Fase-20_PDI_ROT01CTA_20090702" xfId="37"/>
    <cellStyle name="_BoQ-Fase-20_Sheet2" xfId="38"/>
    <cellStyle name="_BoQ-Fase-20_TSS_CTABV_V7_20090607" xfId="39"/>
    <cellStyle name="_BoQ-Fase-20_TSS_MGW02CTA_20090603" xfId="40"/>
    <cellStyle name="_BoQ-Fase-20_TSS_MGW02CTA_V6_20090603" xfId="41"/>
    <cellStyle name="_BoQ-Fase-20_TSSR_SGSN01CTA_V10_20090717" xfId="42"/>
    <cellStyle name="_Control Plane IP Table" xfId="43"/>
    <cellStyle name="_Control Plane IP Table_Agua Verde Site Installation Planning Oi Project V1 090703" xfId="44"/>
    <cellStyle name="_Control Plane IP Table_Boa Agua Verde Planning Oi Project V1 090703" xfId="45"/>
    <cellStyle name="_Control Plane IP Table_Boa Agua Verde Planning Oi Project V1 090703_ETC CORE MGW02CTA" xfId="46"/>
    <cellStyle name="_Control Plane IP Table_Boa Agua Verde Planning Oi Project V1 090703_PDI_MGW01CTA_03_20090716" xfId="47"/>
    <cellStyle name="_Control Plane IP Table_Boa Vista Site Planning Oi Project V1 090702" xfId="48"/>
    <cellStyle name="_Control Plane IP Table_Boa Vista Site Planning Oi Project V1 090702_ETC CORE MGW02CTA" xfId="49"/>
    <cellStyle name="_Control Plane IP Table_Boa Vista Site Planning Oi Project V1 090702_PDI_MGW02CTA_20090703" xfId="50"/>
    <cellStyle name="_Control Plane IP Table_Boa Vista Site Planning Oi Project V1 090706" xfId="51"/>
    <cellStyle name="_Control Plane IP Table_MGW01SMA Site Survey MGWU4 v03 20090701" xfId="52"/>
    <cellStyle name="_Control Plane IP Table_PDI_HLR44CTA_20090703" xfId="53"/>
    <cellStyle name="_Control Plane IP Table_PDI_MGW01CTA_03_20090716" xfId="54"/>
    <cellStyle name="_Control Plane IP Table_PDI_MGW02CTA_20090703" xfId="55"/>
    <cellStyle name="_Control Plane IP Table_PDI_ROT01CSL_2009.07.16" xfId="56"/>
    <cellStyle name="_Control Plane IP Table_PDI_ROT01CTA_20090702" xfId="57"/>
    <cellStyle name="_Control Plane IP Table_Sheet2" xfId="58"/>
    <cellStyle name="_Control Plane IP Table_TSS_CTABV_V7_20090607" xfId="59"/>
    <cellStyle name="_Control Plane IP Table_TSS_HLR40CTA_07_20090708" xfId="60"/>
    <cellStyle name="_Control Plane IP Table_TSS_MGW02CTA_20090603" xfId="61"/>
    <cellStyle name="_Control Plane IP Table_TSS_MGW02CTA_V6_20090603" xfId="62"/>
    <cellStyle name="_Control Plane IP Table_TSS_MGW02CTA_V6_20090603_PDI_MGW02CTA_20090703" xfId="63"/>
    <cellStyle name="_Control Plane IP Table_TSSR_SGSN01CTA_V10_20090717" xfId="64"/>
    <cellStyle name="_Copy of PTS64ALD  GPR CX 0035R7-06 em alteração" xfId="65"/>
    <cellStyle name="_Copy of PTS64ALD  GPR CX 0035R7-06 em alteração_Boa Vista Site Planning Oi Project V1 090702" xfId="66"/>
    <cellStyle name="_Copy of PTS64ALD  GPR CX 0035R7-06 em alteração_Boa Vista Site Planning Oi Project V1 090702_ETC CORE MGW02CTA" xfId="67"/>
    <cellStyle name="_Copy of PTS64ALD  GPR CX 0035R7-06 em alteração_Boa Vista Site Planning Oi Project V1 090702_PDI_MGW02CTA_20090703" xfId="68"/>
    <cellStyle name="_Copy of PTS64ALD  GPR CX 0035R7-06 em alteração_Boa Vista Site Planning Oi Project V1 090706" xfId="69"/>
    <cellStyle name="_Copy of PTS64ALD  GPR CX 0035R7-06 em alteração_DND_MGW01BNU_v1.2" xfId="70"/>
    <cellStyle name="_Copy of PTS64ALD  GPR CX 0035R7-06 em alteração_MGW01SMA Site Survey MGWU4 v03 20090701" xfId="71"/>
    <cellStyle name="_Copy of PTS64ALD  GPR CX 0035R7-06 em alteração_PDI_HLR44CTA_20090703" xfId="72"/>
    <cellStyle name="_Copy of PTS64ALD  GPR CX 0035R7-06 em alteração_PDI_MGW01CTA_03_20090716" xfId="73"/>
    <cellStyle name="_Copy of PTS64ALD  GPR CX 0035R7-06 em alteração_PDI_ROT01CSL_2009.07.16" xfId="74"/>
    <cellStyle name="_Copy of PTS64ALD  GPR CX 0035R7-06 em alteração_PDI_ROT01CTA_20090702" xfId="75"/>
    <cellStyle name="_Copy of PTS64ALD  GPR CX 0035R7-06 em alteração_Sheet2" xfId="76"/>
    <cellStyle name="_Copy of PTS64ALD  GPR CX 0035R7-06 em alteração_TSS_CTABV_V7_20090607" xfId="77"/>
    <cellStyle name="_Copy of PTS64ALD  GPR CX 0035R7-06 em alteração_TSS_MGW02CTA_20090603" xfId="78"/>
    <cellStyle name="_Copy of PTS64ALD  GPR CX 0035R7-06 em alteração_TSS_MGW02CTA_V6_20090603" xfId="79"/>
    <cellStyle name="_Copy of PTS64ALD  GPR CX 0035R7-06 em alteração_TSSR_SGSN01CTA_V10_20090717" xfId="80"/>
    <cellStyle name="_Cronograma_Oi_Fase20_Planning_v02" xfId="81"/>
    <cellStyle name="_Customer_inputs_PS_Core_Model" xfId="82"/>
    <cellStyle name="_DND_MGW01BNU_v1.2" xfId="83"/>
    <cellStyle name="_DND_MGW01LDA_v1.9" xfId="84"/>
    <cellStyle name="_DND_MGW01MGA_v1.9" xfId="85"/>
    <cellStyle name="_DND_MGW01SMA_v1.2" xfId="86"/>
    <cellStyle name="_DND_SGN01CTA_v0.1" xfId="87"/>
    <cellStyle name="_Expansão_OSS_20M_v1" xfId="88"/>
    <cellStyle name="_Ga Interface" xfId="89"/>
    <cellStyle name="_Inputs - IP Requirements - São Paulo- v2" xfId="90"/>
    <cellStyle name="_IP Addressing" xfId="91"/>
    <cellStyle name="_MGW01ITB_DND_v0.6_28_1_2008" xfId="92"/>
    <cellStyle name="_MGW01ITB_DND_v0.6_28_1_2008_Boa Vista Site Planning Oi Project V1 090702" xfId="93"/>
    <cellStyle name="_MGW01ITB_DND_v0.6_28_1_2008_Boa Vista Site Planning Oi Project V1 090702_ETC CORE MGW02CTA" xfId="94"/>
    <cellStyle name="_MGW01ITB_DND_v0.6_28_1_2008_Boa Vista Site Planning Oi Project V1 090702_PDI_MGW02CTA_20090703" xfId="95"/>
    <cellStyle name="_MGW01ITB_DND_v0.6_28_1_2008_Boa Vista Site Planning Oi Project V1 090706" xfId="96"/>
    <cellStyle name="_MGW01ITB_DND_v0.6_28_1_2008_DND_MGW01BNU_v1.2" xfId="97"/>
    <cellStyle name="_MGW01ITB_DND_v0.6_28_1_2008_MGW01SMA Site Survey MGWU4 v03 20090701" xfId="98"/>
    <cellStyle name="_MGW01ITB_DND_v0.6_28_1_2008_PDI_HLR44CTA_20090703" xfId="99"/>
    <cellStyle name="_MGW01ITB_DND_v0.6_28_1_2008_PDI_MGW01CTA_03_20090716" xfId="100"/>
    <cellStyle name="_MGW01ITB_DND_v0.6_28_1_2008_PDI_ROT01CSL_2009.07.16" xfId="101"/>
    <cellStyle name="_MGW01ITB_DND_v0.6_28_1_2008_PDI_ROT01CTA_20090702" xfId="102"/>
    <cellStyle name="_MGW01ITB_DND_v0.6_28_1_2008_Sheet2" xfId="103"/>
    <cellStyle name="_MGW01ITB_DND_v0.6_28_1_2008_TSS_CTABV_V7_20090607" xfId="104"/>
    <cellStyle name="_MGW01ITB_DND_v0.6_28_1_2008_TSS_MGW02CTA_20090603" xfId="105"/>
    <cellStyle name="_MGW01ITB_DND_v0.6_28_1_2008_TSS_MGW02CTA_V6_20090603" xfId="106"/>
    <cellStyle name="_MGW01ITB_DND_v0.6_28_1_2008_TSSR_SGSN01CTA_V10_20090717" xfId="107"/>
    <cellStyle name="_MSSGB01_DND_v1.5" xfId="108"/>
    <cellStyle name="_MSSGB01_DND_v1.5_Boa Vista Site Planning Oi Project V1 090702" xfId="109"/>
    <cellStyle name="_MSSGB01_DND_v1.5_Boa Vista Site Planning Oi Project V1 090702_ETC CORE MGW02CTA" xfId="110"/>
    <cellStyle name="_MSSGB01_DND_v1.5_Boa Vista Site Planning Oi Project V1 090702_PDI_MGW02CTA_20090703" xfId="111"/>
    <cellStyle name="_MSSGB01_DND_v1.5_Boa Vista Site Planning Oi Project V1 090706" xfId="112"/>
    <cellStyle name="_MSSGB01_DND_v1.5_DND_MGW01BNU_v1.2" xfId="113"/>
    <cellStyle name="_MSSGB01_DND_v1.5_MGW01SMA Site Survey MGWU4 v03 20090701" xfId="114"/>
    <cellStyle name="_MSSGB01_DND_v1.5_PDI_HLR44CTA_20090703" xfId="115"/>
    <cellStyle name="_MSSGB01_DND_v1.5_PDI_MGW01CTA_03_20090716" xfId="116"/>
    <cellStyle name="_MSSGB01_DND_v1.5_PDI_ROT01CSL_2009.07.16" xfId="117"/>
    <cellStyle name="_MSSGB01_DND_v1.5_PDI_ROT01CTA_20090702" xfId="118"/>
    <cellStyle name="_MSSGB01_DND_v1.5_Sheet2" xfId="119"/>
    <cellStyle name="_MSSGB01_DND_v1.5_TSS_CTABV_V7_20090607" xfId="120"/>
    <cellStyle name="_MSSGB01_DND_v1.5_TSS_MGW02CTA_20090603" xfId="121"/>
    <cellStyle name="_MSSGB01_DND_v1.5_TSS_MGW02CTA_V6_20090603" xfId="122"/>
    <cellStyle name="_MSSGB01_DND_v1.5_TSSR_SGSN01CTA_V10_20090717" xfId="123"/>
    <cellStyle name="_OI  PSCORE IP PLAN v 1-0" xfId="124"/>
    <cellStyle name="_Sigtran Dimensioning - Oi - v0.2" xfId="125"/>
    <cellStyle name="_Sumario-V02" xfId="126"/>
    <cellStyle name="_Sumario-V02_Boa Vista Site Planning Oi Project V1 090702" xfId="127"/>
    <cellStyle name="_Sumario-V02_Boa Vista Site Planning Oi Project V1 090702_ETC CORE MGW02CTA" xfId="128"/>
    <cellStyle name="_Sumario-V02_Boa Vista Site Planning Oi Project V1 090702_PDI_MGW02CTA_20090703" xfId="129"/>
    <cellStyle name="_Sumario-V02_Boa Vista Site Planning Oi Project V1 090706" xfId="130"/>
    <cellStyle name="_Sumario-V02_DND_MGW01BNU_v1.2" xfId="131"/>
    <cellStyle name="_Sumario-V02_MGW01SMA Site Survey MGWU4 v03 20090701" xfId="132"/>
    <cellStyle name="_Sumario-V02_PDI_HLR44CTA_20090703" xfId="133"/>
    <cellStyle name="_Sumario-V02_PDI_MGW01CTA_03_20090716" xfId="134"/>
    <cellStyle name="_Sumario-V02_PDI_ROT01CSL_2009.07.16" xfId="135"/>
    <cellStyle name="_Sumario-V02_PDI_ROT01CTA_20090702" xfId="136"/>
    <cellStyle name="_Sumario-V02_Sheet2" xfId="137"/>
    <cellStyle name="_Sumario-V02_TSS_CTABV_V7_20090607" xfId="138"/>
    <cellStyle name="_Sumario-V02_TSS_MGW02CTA_20090603" xfId="139"/>
    <cellStyle name="_Sumario-V02_TSS_MGW02CTA_V6_20090603" xfId="140"/>
    <cellStyle name="_Sumario-V02_TSSR_SGSN01CTA_V10_20090717" xfId="141"/>
    <cellStyle name="0,0_x000d__x000a_NA_x000d__x000a_" xfId="142"/>
    <cellStyle name="20% - Accent1" xfId="143"/>
    <cellStyle name="20% - Accent2" xfId="144"/>
    <cellStyle name="20% - Accent3" xfId="145"/>
    <cellStyle name="20% - Accent4" xfId="146"/>
    <cellStyle name="20% - Accent5" xfId="147"/>
    <cellStyle name="20% - Accent6" xfId="148"/>
    <cellStyle name="20% - Ênfase1" xfId="149"/>
    <cellStyle name="20% - Ênfase2" xfId="150"/>
    <cellStyle name="20% - Ênfase3" xfId="151"/>
    <cellStyle name="20% - Ênfase4" xfId="152"/>
    <cellStyle name="20% - Ênfase5" xfId="153"/>
    <cellStyle name="20% - Ênfase6" xfId="154"/>
    <cellStyle name="40% - Accent1" xfId="155"/>
    <cellStyle name="40% - Accent2" xfId="156"/>
    <cellStyle name="40% - Accent3" xfId="157"/>
    <cellStyle name="40% - Accent4" xfId="158"/>
    <cellStyle name="40% - Accent5" xfId="159"/>
    <cellStyle name="40% - Accent6" xfId="160"/>
    <cellStyle name="40% - Ênfase1" xfId="161"/>
    <cellStyle name="40% - Ênfase2" xfId="162"/>
    <cellStyle name="40% - Ênfase3" xfId="163"/>
    <cellStyle name="40% - Ênfase4" xfId="164"/>
    <cellStyle name="40% - Ênfase5" xfId="165"/>
    <cellStyle name="40% - Ênfase6" xfId="166"/>
    <cellStyle name="60% - Accent1" xfId="167"/>
    <cellStyle name="60% - Accent2" xfId="168"/>
    <cellStyle name="60% - Accent3" xfId="169"/>
    <cellStyle name="60% - Accent4" xfId="170"/>
    <cellStyle name="60% - Accent5" xfId="171"/>
    <cellStyle name="60% - Accent6" xfId="172"/>
    <cellStyle name="60% - Ênfase1" xfId="173"/>
    <cellStyle name="60% - Ênfase2" xfId="174"/>
    <cellStyle name="60% - Ênfase3" xfId="175"/>
    <cellStyle name="60% - Ênfase4" xfId="176"/>
    <cellStyle name="60% - Ênfase5" xfId="177"/>
    <cellStyle name="60% - Ênfase6" xfId="178"/>
    <cellStyle name="Accent1" xfId="179"/>
    <cellStyle name="Accent2" xfId="180"/>
    <cellStyle name="Accent3" xfId="181"/>
    <cellStyle name="Accent4" xfId="182"/>
    <cellStyle name="Accent5" xfId="183"/>
    <cellStyle name="Accent6" xfId="184"/>
    <cellStyle name="Bad" xfId="185"/>
    <cellStyle name="Body" xfId="186"/>
    <cellStyle name="Bom" xfId="187"/>
    <cellStyle name="Calculation" xfId="188"/>
    <cellStyle name="Célula de Verificação" xfId="189"/>
    <cellStyle name="Célula Vinculada" xfId="190"/>
    <cellStyle name="Check Cell" xfId="191"/>
    <cellStyle name="Comma  - Style1" xfId="192"/>
    <cellStyle name="Comma  - Style2" xfId="193"/>
    <cellStyle name="Comma  - Style3" xfId="194"/>
    <cellStyle name="Comma  - Style4" xfId="195"/>
    <cellStyle name="Comma  - Style5" xfId="196"/>
    <cellStyle name="Comma  - Style6" xfId="197"/>
    <cellStyle name="Comma  - Style7" xfId="198"/>
    <cellStyle name="Comma  - Style8" xfId="199"/>
    <cellStyle name="datafill bulk" xfId="200"/>
    <cellStyle name="datafill command info" xfId="201"/>
    <cellStyle name="datafill command info for MGW" xfId="202"/>
    <cellStyle name="datafill header1" xfId="203"/>
    <cellStyle name="datafill header2" xfId="204"/>
    <cellStyle name="datafill reserved line" xfId="205"/>
    <cellStyle name="datafill sheet info" xfId="206"/>
    <cellStyle name="datafill sheet info for MGW" xfId="207"/>
    <cellStyle name="Ênfase1" xfId="208"/>
    <cellStyle name="Ênfase2" xfId="209"/>
    <cellStyle name="Ênfase3" xfId="210"/>
    <cellStyle name="Ênfase4" xfId="211"/>
    <cellStyle name="Ênfase5" xfId="212"/>
    <cellStyle name="Ênfase6" xfId="213"/>
    <cellStyle name="entry box" xfId="214"/>
    <cellStyle name="Estilo 1" xfId="215"/>
    <cellStyle name="Estilo 10" xfId="216"/>
    <cellStyle name="Estilo 11" xfId="217"/>
    <cellStyle name="Estilo 12" xfId="218"/>
    <cellStyle name="Estilo 13" xfId="219"/>
    <cellStyle name="Estilo 14" xfId="220"/>
    <cellStyle name="Estilo 15" xfId="221"/>
    <cellStyle name="Estilo 16" xfId="222"/>
    <cellStyle name="Estilo 17" xfId="223"/>
    <cellStyle name="Estilo 18" xfId="224"/>
    <cellStyle name="Estilo 2" xfId="225"/>
    <cellStyle name="Estilo 3" xfId="226"/>
    <cellStyle name="Estilo 4" xfId="227"/>
    <cellStyle name="Estilo 5" xfId="228"/>
    <cellStyle name="Estilo 6" xfId="229"/>
    <cellStyle name="Estilo 7" xfId="230"/>
    <cellStyle name="Estilo 8" xfId="231"/>
    <cellStyle name="Estilo 9" xfId="232"/>
    <cellStyle name="Euro" xfId="233"/>
    <cellStyle name="Explanatory Text" xfId="234"/>
    <cellStyle name="Good" xfId="235"/>
    <cellStyle name="Grey" xfId="236"/>
    <cellStyle name="Header1" xfId="237"/>
    <cellStyle name="Header2" xfId="238"/>
    <cellStyle name="Heading 1" xfId="239"/>
    <cellStyle name="Heading 2" xfId="240"/>
    <cellStyle name="Heading 3" xfId="241"/>
    <cellStyle name="Heading 4" xfId="242"/>
    <cellStyle name="Hipervínculo 2" xfId="243"/>
    <cellStyle name="Hipervínculo 2 2" xfId="244"/>
    <cellStyle name="Hipervínculo 2_PDI_ROT01CSL_2009.07.16" xfId="245"/>
    <cellStyle name="Hipervínculo 3" xfId="246"/>
    <cellStyle name="Hyperlink seguido_Oi_SRRi_Planning_Rev01" xfId="247"/>
    <cellStyle name="Hyperlink_DND_SGN01CTA_v0.1" xfId="248"/>
    <cellStyle name="Incorreto" xfId="249"/>
    <cellStyle name="Input" xfId="250"/>
    <cellStyle name="Input [yellow]" xfId="251"/>
    <cellStyle name="Jun" xfId="252"/>
    <cellStyle name="Linked Cell" xfId="253"/>
    <cellStyle name="Millares 2" xfId="254"/>
    <cellStyle name="Millares 3" xfId="255"/>
    <cellStyle name="Millares 4" xfId="256"/>
    <cellStyle name="Millares 4 2" xfId="257"/>
    <cellStyle name="Moeda [0]_BRB_Port_Association" xfId="258"/>
    <cellStyle name="Moeda_BRB_Port_Association" xfId="259"/>
    <cellStyle name="Neutra" xfId="260"/>
    <cellStyle name="no dec" xfId="261"/>
    <cellStyle name="Normal" xfId="0" builtinId="0"/>
    <cellStyle name="Normal - Style1" xfId="262"/>
    <cellStyle name="Normal 2" xfId="263"/>
    <cellStyle name="Normal 2 2" xfId="1"/>
    <cellStyle name="Normal 2_ETC CORE MGW02CTA" xfId="264"/>
    <cellStyle name="Normal 3" xfId="265"/>
    <cellStyle name="Normal 3 2" xfId="266"/>
    <cellStyle name="Normal 3_ISP_MARINGÁ_V5.2_20090826" xfId="267"/>
    <cellStyle name="Normal 4" xfId="268"/>
    <cellStyle name="normální_T2" xfId="269"/>
    <cellStyle name="Nota" xfId="270"/>
    <cellStyle name="Note" xfId="271"/>
    <cellStyle name="Output" xfId="272"/>
    <cellStyle name="Percent [2]" xfId="273"/>
    <cellStyle name="Prefilled" xfId="274"/>
    <cellStyle name="Saída" xfId="275"/>
    <cellStyle name="Separador de milhares [0]_BRB_Port_Association" xfId="276"/>
    <cellStyle name="Separador de milhares_BRB_Port_Association" xfId="277"/>
    <cellStyle name="Standard_VI_MSC_Initial_Data_Ver1" xfId="278"/>
    <cellStyle name="Style 1" xfId="279"/>
    <cellStyle name="Style 2" xfId="280"/>
    <cellStyle name="Texto de Aviso" xfId="281"/>
    <cellStyle name="Times New Roman" xfId="282"/>
    <cellStyle name="Title" xfId="283"/>
    <cellStyle name="Título 4" xfId="284"/>
    <cellStyle name="Warning Text" xfId="285"/>
    <cellStyle name="一般_EXP4-3交換機PointCode" xfId="286"/>
    <cellStyle name="千位[0]_laroux" xfId="287"/>
    <cellStyle name="千位_laroux" xfId="288"/>
    <cellStyle name="常规_laroux" xfId="289"/>
    <cellStyle name="货币[0]_laroux" xfId="290"/>
    <cellStyle name="货币_laroux" xfId="291"/>
  </cellStyles>
  <dxfs count="6">
    <dxf>
      <fill>
        <patternFill>
          <bgColor rgb="FF92D05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92D05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95250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95250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95250</xdr:rowOff>
    </xdr:from>
    <xdr:to>
      <xdr:col>6</xdr:col>
      <xdr:colOff>123825</xdr:colOff>
      <xdr:row>3</xdr:row>
      <xdr:rowOff>114300</xdr:rowOff>
    </xdr:to>
    <xdr:pic>
      <xdr:nvPicPr>
        <xdr:cNvPr id="2" name="Picture 1" descr="nokia_siemens_networks_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l="5217" t="9677" r="35217" b="16129"/>
        <a:stretch>
          <a:fillRect/>
        </a:stretch>
      </xdr:blipFill>
      <xdr:spPr bwMode="auto">
        <a:xfrm>
          <a:off x="285750" y="95250"/>
          <a:ext cx="1171575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34</xdr:col>
      <xdr:colOff>92449</xdr:colOff>
      <xdr:row>0</xdr:row>
      <xdr:rowOff>49305</xdr:rowOff>
    </xdr:from>
    <xdr:to>
      <xdr:col>41</xdr:col>
      <xdr:colOff>154641</xdr:colOff>
      <xdr:row>3</xdr:row>
      <xdr:rowOff>68355</xdr:rowOff>
    </xdr:to>
    <xdr:pic>
      <xdr:nvPicPr>
        <xdr:cNvPr id="4" name="Picture 2" descr="header0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779684" y="49305"/>
          <a:ext cx="1653428" cy="489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clepio\wll%202000\FlavioOfer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Appl\Rpg3\Projetos%20RPG-31\PADRONIZA&#199;&#195;O%20DE%20TARIFA&#199;&#195;O\&#193;REA%20021\2&#170;%20Emiss&#227;o\Neax%2061BR\&#193;rea%20021%20-%20Neax61BR-%20SISTEMICA%20-%20EM-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.9.29\Root\WINDOWS\TEMP\Plano%20Numera&#231;&#227;o%20BSE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ACRO"/>
      <sheetName val="Dados"/>
      <sheetName val="Terminais Convencionais"/>
      <sheetName val="Receita"/>
      <sheetName val="FlavioOferta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area 021 - CSP 0021"/>
      <sheetName val="area 021 - CSP 0023"/>
      <sheetName val="area 021 - CSP 021"/>
      <sheetName val="area 021 - CSP 023"/>
      <sheetName val="area 021 - CSP 085"/>
      <sheetName val="area 021 - CSP 031"/>
      <sheetName val="Plan2"/>
      <sheetName val="Sumário"/>
      <sheetName val="1 Apresentação"/>
      <sheetName val="2 Alterações"/>
      <sheetName val="3.1 Diagrama de Sinalização "/>
      <sheetName val="3.2 Tabela de IMSI e GTT"/>
      <sheetName val="3.3 Tabela de Sinalização"/>
      <sheetName val="4.1 Diagrama de Entroncamento "/>
      <sheetName val="4.2 Tabela de Entroncamento "/>
      <sheetName val="4.3 Tabela de Semi-permanent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E AL - Plano Numeração"/>
      <sheetName val="BSE PE - Plano Numeração"/>
      <sheetName val="BSE PB - Plano Numeração"/>
      <sheetName val="BSE RN - Plano Numeração"/>
      <sheetName val="BSE CE - Plano Numeração"/>
      <sheetName val="BSE PI - Plano Numeração"/>
      <sheetName val="BSE AL _ Plano Numeração"/>
      <sheetName val="BSE PE _ Plano Numeração"/>
      <sheetName val="BSE PB _ Plano Numeração"/>
      <sheetName val="BSE RN _ Plano Numeração"/>
      <sheetName val="BSE CE _ Plano Numeraçã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XFD38"/>
  <sheetViews>
    <sheetView workbookViewId="0"/>
  </sheetViews>
  <sheetFormatPr defaultColWidth="11.42578125" defaultRowHeight="15"/>
  <cols>
    <col min="1" max="1" width="63.85546875" style="1" bestFit="1" customWidth="1"/>
    <col min="2" max="2" width="11.42578125" style="1"/>
    <col min="3" max="3" width="25.5703125" style="1" customWidth="1"/>
    <col min="4" max="4" width="11.42578125" style="1"/>
    <col min="5" max="5" width="7.85546875" style="1" bestFit="1" customWidth="1"/>
    <col min="6" max="6" width="8.7109375" style="1" bestFit="1" customWidth="1"/>
    <col min="7" max="7" width="7.140625" style="1" bestFit="1" customWidth="1"/>
    <col min="8" max="8" width="5.5703125" style="1" bestFit="1" customWidth="1"/>
    <col min="9" max="16377" width="11.42578125" style="1"/>
    <col min="16378" max="16379" width="11.42578125" style="30"/>
    <col min="16380" max="16380" width="25.140625" style="30" bestFit="1" customWidth="1"/>
    <col min="16381" max="16381" width="5.5703125" style="14" bestFit="1" customWidth="1"/>
    <col min="16382" max="16382" width="23.7109375" style="14" bestFit="1" customWidth="1"/>
    <col min="16383" max="16383" width="7.140625" style="14" bestFit="1" customWidth="1"/>
    <col min="16384" max="16384" width="3.85546875" style="14" bestFit="1" customWidth="1"/>
  </cols>
  <sheetData>
    <row r="1" spans="1:9 16380:16384">
      <c r="A1" s="8" t="s">
        <v>27</v>
      </c>
      <c r="B1" s="2"/>
      <c r="XEZ1" s="30" t="s">
        <v>40</v>
      </c>
      <c r="XFA1" s="14" t="s">
        <v>31</v>
      </c>
      <c r="XFB1" s="14" t="s">
        <v>28</v>
      </c>
      <c r="XFC1" s="14" t="s">
        <v>21</v>
      </c>
      <c r="XFD1" s="14" t="s">
        <v>25</v>
      </c>
    </row>
    <row r="2" spans="1:9 16380:16384">
      <c r="A2" s="9" t="s">
        <v>26</v>
      </c>
      <c r="B2" s="2"/>
      <c r="XEZ2" s="30" t="s">
        <v>34</v>
      </c>
      <c r="XFA2" s="14">
        <v>0</v>
      </c>
      <c r="XFB2" s="14">
        <v>0</v>
      </c>
      <c r="XFC2" s="14">
        <v>1</v>
      </c>
      <c r="XFD2" s="14">
        <v>1</v>
      </c>
    </row>
    <row r="3" spans="1:9 16380:16384" ht="15.75" thickBot="1">
      <c r="A3" s="10" t="s">
        <v>27</v>
      </c>
      <c r="B3" s="2"/>
      <c r="XEZ3" s="30" t="s">
        <v>35</v>
      </c>
      <c r="XFA3" s="14">
        <v>1</v>
      </c>
      <c r="XFB3" s="14">
        <v>1</v>
      </c>
      <c r="XFC3" s="14">
        <v>2</v>
      </c>
      <c r="XFD3" s="14">
        <v>2</v>
      </c>
    </row>
    <row r="4" spans="1:9 16380:16384" ht="15.75" thickBot="1">
      <c r="XEZ4" s="30" t="s">
        <v>36</v>
      </c>
      <c r="XFA4" s="14">
        <v>2</v>
      </c>
      <c r="XFB4" s="14">
        <v>2</v>
      </c>
      <c r="XFC4" s="14">
        <v>3</v>
      </c>
      <c r="XFD4" s="14">
        <v>3</v>
      </c>
    </row>
    <row r="5" spans="1:9 16380:16384" ht="15.75" thickBot="1">
      <c r="A5" s="13" t="str">
        <f>CONCATENATE("!## Set Number of Trough Connections!")</f>
        <v>!## Set Number of Trough Connections!</v>
      </c>
      <c r="B5" s="5"/>
      <c r="C5" s="20" t="s">
        <v>20</v>
      </c>
      <c r="D5" s="21">
        <v>286</v>
      </c>
      <c r="E5" s="3"/>
      <c r="F5" s="3"/>
      <c r="G5" s="3"/>
      <c r="H5" s="3"/>
      <c r="I5" s="2"/>
      <c r="XEZ5" s="30" t="s">
        <v>37</v>
      </c>
      <c r="XFA5" s="14">
        <v>3</v>
      </c>
      <c r="XFB5" s="14">
        <v>3</v>
      </c>
      <c r="XFC5" s="14">
        <v>4</v>
      </c>
      <c r="XFD5" s="14">
        <v>4</v>
      </c>
    </row>
    <row r="6" spans="1:9 16380:16384" ht="15.75" thickBot="1">
      <c r="A6" s="11" t="str">
        <f>CONCATENATE("ZWGS:",D5,":",D6,";")</f>
        <v>ZWGS:286:0;</v>
      </c>
      <c r="B6" s="5"/>
      <c r="C6" s="20" t="s">
        <v>28</v>
      </c>
      <c r="D6" s="21">
        <v>0</v>
      </c>
      <c r="E6" s="20" t="s">
        <v>24</v>
      </c>
      <c r="F6" s="21" t="s">
        <v>23</v>
      </c>
      <c r="G6" s="20" t="s">
        <v>21</v>
      </c>
      <c r="H6" s="21" t="s">
        <v>22</v>
      </c>
      <c r="XEZ6" s="30" t="s">
        <v>38</v>
      </c>
      <c r="XFA6" s="14">
        <v>4</v>
      </c>
      <c r="XFB6" s="14">
        <v>4</v>
      </c>
      <c r="XFD6" s="14">
        <v>5</v>
      </c>
    </row>
    <row r="7" spans="1:9 16380:16384" ht="15.75" thickBot="1">
      <c r="C7" s="114" t="s">
        <v>19</v>
      </c>
      <c r="D7" s="115"/>
      <c r="E7" s="19">
        <f t="shared" ref="E7:E14" si="0">$D$5</f>
        <v>286</v>
      </c>
      <c r="F7" s="16">
        <v>31</v>
      </c>
      <c r="G7" s="24">
        <v>1</v>
      </c>
      <c r="H7" s="25">
        <v>16</v>
      </c>
      <c r="XEZ7" s="30" t="s">
        <v>39</v>
      </c>
      <c r="XFA7" s="14">
        <v>5</v>
      </c>
      <c r="XFB7" s="14">
        <v>5</v>
      </c>
      <c r="XFD7" s="14">
        <v>6</v>
      </c>
    </row>
    <row r="8" spans="1:9 16380:16384" ht="15.75" thickBot="1">
      <c r="A8" s="13" t="str">
        <f>CONCATENATE("!## Set the Trough Connections!")</f>
        <v>!## Set the Trough Connections!</v>
      </c>
      <c r="B8" s="2"/>
      <c r="C8" s="116"/>
      <c r="D8" s="117"/>
      <c r="E8" s="19">
        <f t="shared" si="0"/>
        <v>286</v>
      </c>
      <c r="F8" s="17">
        <v>25</v>
      </c>
      <c r="G8" s="22">
        <v>4</v>
      </c>
      <c r="H8" s="17">
        <v>25</v>
      </c>
      <c r="XFA8" s="14">
        <v>6</v>
      </c>
      <c r="XFB8" s="14">
        <v>6</v>
      </c>
      <c r="XFD8" s="14">
        <v>7</v>
      </c>
    </row>
    <row r="9" spans="1:9 16380:16384">
      <c r="A9" s="6" t="str">
        <f>IF($D$6&gt;=1,CONCATENATE("ZWGA:",E7,"-",F7,":",G7,"-",H7,";"),"")</f>
        <v/>
      </c>
      <c r="B9" s="2"/>
      <c r="C9" s="116"/>
      <c r="D9" s="117"/>
      <c r="E9" s="19">
        <f t="shared" si="0"/>
        <v>286</v>
      </c>
      <c r="F9" s="17">
        <v>26</v>
      </c>
      <c r="G9" s="22">
        <v>4</v>
      </c>
      <c r="H9" s="17">
        <v>26</v>
      </c>
      <c r="XFA9" s="14">
        <v>7</v>
      </c>
      <c r="XFB9" s="14">
        <v>7</v>
      </c>
      <c r="XFD9" s="14">
        <v>8</v>
      </c>
    </row>
    <row r="10" spans="1:9 16380:16384">
      <c r="A10" s="12" t="str">
        <f>IF($D$6&gt;=2,CONCATENATE("ZWGA:",E8,"-",F8,":",G8,"-",H8,";"),"")</f>
        <v/>
      </c>
      <c r="C10" s="116"/>
      <c r="D10" s="117"/>
      <c r="E10" s="19">
        <f t="shared" si="0"/>
        <v>286</v>
      </c>
      <c r="F10" s="17">
        <v>27</v>
      </c>
      <c r="G10" s="22">
        <v>4</v>
      </c>
      <c r="H10" s="17">
        <v>27</v>
      </c>
      <c r="XFA10" s="14">
        <v>8</v>
      </c>
      <c r="XFB10" s="14">
        <v>8</v>
      </c>
      <c r="XFD10" s="14">
        <v>9</v>
      </c>
    </row>
    <row r="11" spans="1:9 16380:16384">
      <c r="A11" s="12" t="str">
        <f>IF($D$6&gt;=3,CONCATENATE("ZWGA:",E9,"-",F9,":",G9,"-",H9,";"),"")</f>
        <v/>
      </c>
      <c r="B11" s="2"/>
      <c r="C11" s="116"/>
      <c r="D11" s="117"/>
      <c r="E11" s="19">
        <f t="shared" si="0"/>
        <v>286</v>
      </c>
      <c r="F11" s="17">
        <v>28</v>
      </c>
      <c r="G11" s="22">
        <v>4</v>
      </c>
      <c r="H11" s="17">
        <v>28</v>
      </c>
      <c r="XFA11" s="14">
        <v>9</v>
      </c>
      <c r="XFD11" s="14">
        <v>10</v>
      </c>
    </row>
    <row r="12" spans="1:9 16380:16384">
      <c r="A12" s="12" t="str">
        <f>IF($D$6&gt;=4,CONCATENATE("ZWGA:",E10,"-",F10,":",G10,"-",H10,";"),"")</f>
        <v/>
      </c>
      <c r="B12" s="2"/>
      <c r="C12" s="116"/>
      <c r="D12" s="117"/>
      <c r="E12" s="19">
        <f t="shared" si="0"/>
        <v>286</v>
      </c>
      <c r="F12" s="17">
        <v>29</v>
      </c>
      <c r="G12" s="22">
        <v>4</v>
      </c>
      <c r="H12" s="17">
        <v>29</v>
      </c>
      <c r="XFA12" s="14">
        <v>10</v>
      </c>
      <c r="XFD12" s="14">
        <v>11</v>
      </c>
    </row>
    <row r="13" spans="1:9 16380:16384">
      <c r="A13" s="12" t="str">
        <f>IF($D$6&gt;=5,CONCATENATE("ZWGA:",E11,"-",F11,":",G11,"-",H11,";"),"")</f>
        <v/>
      </c>
      <c r="B13" s="2"/>
      <c r="C13" s="116"/>
      <c r="D13" s="117"/>
      <c r="E13" s="19">
        <f t="shared" si="0"/>
        <v>286</v>
      </c>
      <c r="F13" s="17">
        <v>30</v>
      </c>
      <c r="G13" s="22">
        <v>4</v>
      </c>
      <c r="H13" s="17">
        <v>30</v>
      </c>
      <c r="XFD13" s="14">
        <v>12</v>
      </c>
    </row>
    <row r="14" spans="1:9 16380:16384" ht="15.75" thickBot="1">
      <c r="A14" s="12" t="str">
        <f>IF($D$6&gt;=6,CONCATENATE("ZWGA:",E12,"-",F12,":",G12,"-",H12,";"),"")</f>
        <v/>
      </c>
      <c r="B14" s="2"/>
      <c r="C14" s="118"/>
      <c r="D14" s="119"/>
      <c r="E14" s="26">
        <f t="shared" si="0"/>
        <v>286</v>
      </c>
      <c r="F14" s="18">
        <v>31</v>
      </c>
      <c r="G14" s="23">
        <v>4</v>
      </c>
      <c r="H14" s="18">
        <v>31</v>
      </c>
      <c r="XFD14" s="14">
        <v>13</v>
      </c>
    </row>
    <row r="15" spans="1:9 16380:16384">
      <c r="A15" s="12" t="str">
        <f>IF($D$6&gt;=7,CONCATENATE("ZWGA:",E13,"-",F13,":",G13,"-",H13,";"),"")</f>
        <v/>
      </c>
      <c r="B15" s="2"/>
      <c r="XFD15" s="14">
        <v>14</v>
      </c>
    </row>
    <row r="16" spans="1:9 16380:16384" ht="15.75" thickBot="1">
      <c r="A16" s="11" t="str">
        <f>IF($D$6&gt;=8,CONCATENATE("ZWGA:",E14,"-",F14,":",G14,"-",H14,";"),"")</f>
        <v/>
      </c>
      <c r="B16" s="2"/>
      <c r="XFD16" s="14">
        <v>15</v>
      </c>
    </row>
    <row r="17" spans="1:8 16384:16384" ht="15.75" thickBot="1">
      <c r="B17" s="2"/>
      <c r="XFD17" s="14">
        <v>16</v>
      </c>
    </row>
    <row r="18" spans="1:8 16384:16384" ht="15.75" thickBot="1">
      <c r="A18" s="13" t="str">
        <f>CONCATENATE("!## Set Configuration for TCSMs!")</f>
        <v>!## Set Configuration for TCSMs!</v>
      </c>
      <c r="B18" s="2"/>
      <c r="C18" s="20" t="s">
        <v>29</v>
      </c>
      <c r="D18" s="21">
        <v>20</v>
      </c>
      <c r="XFD18" s="14">
        <v>17</v>
      </c>
    </row>
    <row r="19" spans="1:8 16384:16384" ht="15.75" thickBot="1">
      <c r="A19" s="27" t="str">
        <f>CONCATENATE("ZWGC:",$D$5,",1:POOL=",$D$18,":BCSU,",$D$19,";")</f>
        <v>ZWGC:286,1:POOL=20:BCSU,1;</v>
      </c>
      <c r="B19" s="2"/>
      <c r="C19" s="20" t="s">
        <v>30</v>
      </c>
      <c r="D19" s="21">
        <v>1</v>
      </c>
      <c r="XFD19" s="14">
        <v>18</v>
      </c>
    </row>
    <row r="20" spans="1:8 16384:16384">
      <c r="A20" s="7" t="str">
        <f>CONCATENATE("ZWGC:",$D$5,",2:POOL=",$D$18,":BCSU,",$D$19,";")</f>
        <v>ZWGC:286,2:POOL=20:BCSU,1;</v>
      </c>
      <c r="B20" s="2"/>
      <c r="XFD20" s="14">
        <v>19</v>
      </c>
    </row>
    <row r="21" spans="1:8 16384:16384">
      <c r="A21" s="7" t="str">
        <f>CONCATENATE("ZWGC:",$D$5,",3:POOL=",$D$18,":BCSU,",$D$19,";")</f>
        <v>ZWGC:286,3:POOL=20:BCSU,1;</v>
      </c>
      <c r="B21" s="2"/>
      <c r="XFD21" s="14">
        <v>20</v>
      </c>
    </row>
    <row r="22" spans="1:8 16384:16384" ht="15.75" thickBot="1">
      <c r="A22" s="28" t="str">
        <f>CONCATENATE("ZWGC:",$D$5,",4:POOL=",$D$18,":BCSU,",$D$19,";")</f>
        <v>ZWGC:286,4:POOL=20:BCSU,1;</v>
      </c>
      <c r="XFD22" s="14">
        <v>21</v>
      </c>
    </row>
    <row r="23" spans="1:8 16384:16384" ht="15.75" thickBot="1">
      <c r="A23" s="4"/>
      <c r="E23" s="3"/>
      <c r="F23" s="3"/>
      <c r="G23" s="3"/>
      <c r="XFD23" s="14">
        <v>22</v>
      </c>
    </row>
    <row r="24" spans="1:8 16384:16384" ht="15.75" thickBot="1">
      <c r="A24" s="13" t="str">
        <f>CONCATENATE("!## Add Speech Channels to CGR!")</f>
        <v>!## Add Speech Channels to CGR!</v>
      </c>
      <c r="C24" s="20" t="s">
        <v>40</v>
      </c>
      <c r="D24" s="21" t="s">
        <v>32</v>
      </c>
      <c r="E24" s="111" t="s">
        <v>33</v>
      </c>
      <c r="F24" s="112"/>
      <c r="G24" s="113"/>
      <c r="H24" s="29">
        <v>1</v>
      </c>
      <c r="XFD24" s="14">
        <v>23</v>
      </c>
    </row>
    <row r="25" spans="1:8 16384:16384">
      <c r="A25" s="27" t="str">
        <f>CONCATENATE("ZRCA:CGR=",$H$24,":ETPCM=",$D$5,",CRCT=",C25,":CCSPCM=",D25,";")</f>
        <v>ZRCA:CGR=1:ETPCM=286,CRCT=1-1&amp;&amp;-31:CCSPCM=116;</v>
      </c>
      <c r="C25" s="15" t="s">
        <v>34</v>
      </c>
      <c r="D25" s="16">
        <v>116</v>
      </c>
      <c r="E25" s="4"/>
      <c r="F25" s="4"/>
      <c r="G25" s="4"/>
      <c r="XFD25" s="14">
        <v>24</v>
      </c>
    </row>
    <row r="26" spans="1:8 16384:16384">
      <c r="A26" s="7" t="str">
        <f>CONCATENATE("ZRCA:CGR=",$H$24,":ETPCM=",$D$5,",CRCT=",C26,":CCSPCM=",D26,";")</f>
        <v>ZRCA:CGR=1:ETPCM=286,CRCT=2-1&amp;&amp;-31:CCSPCM=117;</v>
      </c>
      <c r="C26" s="19" t="s">
        <v>36</v>
      </c>
      <c r="D26" s="17">
        <v>117</v>
      </c>
      <c r="XFD26" s="14">
        <v>25</v>
      </c>
    </row>
    <row r="27" spans="1:8 16384:16384">
      <c r="A27" s="7" t="str">
        <f>CONCATENATE("ZRCA:CGR=",$H$24,":ETPCM=",$D$5,",CRCT=",C27,":CCSPCM=",D27,";")</f>
        <v>ZRCA:CGR=1:ETPCM=286,CRCT=3-1&amp;&amp;-31:CCSPCM=118;</v>
      </c>
      <c r="C27" s="19" t="s">
        <v>37</v>
      </c>
      <c r="D27" s="17">
        <v>118</v>
      </c>
      <c r="XFD27" s="14">
        <v>26</v>
      </c>
    </row>
    <row r="28" spans="1:8 16384:16384" ht="15.75" thickBot="1">
      <c r="A28" s="28" t="str">
        <f>CONCATENATE("ZRCA:CGR=",$H$24,":ETPCM=",$D$5,",CRCT=",C28,":CCSPCM=",D28,";")</f>
        <v>ZRCA:CGR=1:ETPCM=286,CRCT=4-1&amp;&amp;-27:CCSPCM=119;</v>
      </c>
      <c r="C28" s="26" t="s">
        <v>39</v>
      </c>
      <c r="D28" s="18">
        <v>119</v>
      </c>
      <c r="XFD28" s="14">
        <v>27</v>
      </c>
    </row>
    <row r="29" spans="1:8 16384:16384" ht="15.75" thickBot="1">
      <c r="XFD29" s="14">
        <v>28</v>
      </c>
    </row>
    <row r="30" spans="1:8 16384:16384" ht="15.75" thickBot="1">
      <c r="A30" s="13" t="str">
        <f>CONCATENATE("!## Speech Channels to WO!")</f>
        <v>!## Speech Channels to WO!</v>
      </c>
      <c r="XFD30" s="14">
        <v>29</v>
      </c>
    </row>
    <row r="31" spans="1:8 16384:16384">
      <c r="A31" s="27" t="str">
        <f>CONCATENATE("ZCEC:ETPCM=",$D$5,",CRCT=",$C$25,":BL;")</f>
        <v>ZCEC:ETPCM=286,CRCT=1-1&amp;&amp;-31:BL;</v>
      </c>
      <c r="XFD31" s="14">
        <v>30</v>
      </c>
    </row>
    <row r="32" spans="1:8 16384:16384">
      <c r="A32" s="7" t="str">
        <f>CONCATENATE("ZCEC:ETPCM=",$D$5,",CRCT=",$C$26,":BL;")</f>
        <v>ZCEC:ETPCM=286,CRCT=2-1&amp;&amp;-31:BL;</v>
      </c>
      <c r="XFD32" s="14">
        <v>31</v>
      </c>
    </row>
    <row r="33" spans="1:1">
      <c r="A33" s="7" t="str">
        <f>CONCATENATE("ZCEC:ETPCM=",$D$5,",CRCT=",$C$27,":BL;")</f>
        <v>ZCEC:ETPCM=286,CRCT=3-1&amp;&amp;-31:BL;</v>
      </c>
    </row>
    <row r="34" spans="1:1">
      <c r="A34" s="7" t="str">
        <f>CONCATENATE("ZCEC:ETPCM=",$D$5,",CRCT=",$C$28,":BL;")</f>
        <v>ZCEC:ETPCM=286,CRCT=4-1&amp;&amp;-27:BL;</v>
      </c>
    </row>
    <row r="35" spans="1:1">
      <c r="A35" s="7" t="str">
        <f>CONCATENATE("ZCEC:ETPCM=",$D$5,",CRCT=",$C$25,":WO;")</f>
        <v>ZCEC:ETPCM=286,CRCT=1-1&amp;&amp;-31:WO;</v>
      </c>
    </row>
    <row r="36" spans="1:1">
      <c r="A36" s="7" t="str">
        <f>CONCATENATE("ZCEC:ETPCM=",$D$5,",CRCT=",$C$26,":WO;")</f>
        <v>ZCEC:ETPCM=286,CRCT=2-1&amp;&amp;-31:WO;</v>
      </c>
    </row>
    <row r="37" spans="1:1">
      <c r="A37" s="7" t="str">
        <f>CONCATENATE("ZCEC:ETPCM=",$D$5,",CRCT=",$C$27,":WO;")</f>
        <v>ZCEC:ETPCM=286,CRCT=3-1&amp;&amp;-31:WO;</v>
      </c>
    </row>
    <row r="38" spans="1:1" ht="15.75" thickBot="1">
      <c r="A38" s="28" t="str">
        <f>CONCATENATE("ZCEC:ETPCM=",$D$5,",CRCT=",$C$28,":WO;")</f>
        <v>ZCEC:ETPCM=286,CRCT=4-1&amp;&amp;-27:WO;</v>
      </c>
    </row>
  </sheetData>
  <sheetProtection password="B6E0" sheet="1" objects="1" scenarios="1"/>
  <protectedRanges>
    <protectedRange sqref="C25:D28" name="Rango5"/>
    <protectedRange sqref="H24" name="Rango4"/>
    <protectedRange sqref="D18:D19" name="Rango3"/>
    <protectedRange sqref="F7:H14" name="Rango2"/>
    <protectedRange sqref="D5:D6" name="Rango1"/>
  </protectedRanges>
  <mergeCells count="2">
    <mergeCell ref="E24:G24"/>
    <mergeCell ref="C7:D14"/>
  </mergeCells>
  <dataValidations count="8">
    <dataValidation type="list" allowBlank="1" showInputMessage="1" showErrorMessage="1" sqref="F7:F14 H7:H14">
      <formula1>$XFD$2:$XFD$32</formula1>
    </dataValidation>
    <dataValidation type="list" allowBlank="1" showInputMessage="1" showErrorMessage="1" sqref="G7:G14">
      <formula1>$XFC$2:$XFC$5</formula1>
    </dataValidation>
    <dataValidation type="list" allowBlank="1" showInputMessage="1" showErrorMessage="1" sqref="D6">
      <formula1>$XFB$2:$XFB$10</formula1>
    </dataValidation>
    <dataValidation type="list" allowBlank="1" showInputMessage="1" showErrorMessage="1" sqref="D19">
      <formula1>$XFA$2:$XFA$12</formula1>
    </dataValidation>
    <dataValidation type="list" allowBlank="1" showInputMessage="1" showErrorMessage="1" sqref="C25">
      <formula1>$XEZ$2:$XEZ$3</formula1>
    </dataValidation>
    <dataValidation type="list" allowBlank="1" showInputMessage="1" showErrorMessage="1" sqref="C26">
      <formula1>$XEZ$4</formula1>
    </dataValidation>
    <dataValidation type="list" allowBlank="1" showInputMessage="1" showErrorMessage="1" sqref="C27">
      <formula1>$XEZ$5</formula1>
    </dataValidation>
    <dataValidation type="list" allowBlank="1" showInputMessage="1" showErrorMessage="1" sqref="C28">
      <formula1>$XEZ$6:$XEZ$7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FD150"/>
  <sheetViews>
    <sheetView tabSelected="1" workbookViewId="0"/>
  </sheetViews>
  <sheetFormatPr defaultColWidth="11.42578125" defaultRowHeight="15"/>
  <cols>
    <col min="1" max="1" width="75.42578125" style="86" bestFit="1" customWidth="1"/>
    <col min="2" max="2" width="11.42578125" style="1"/>
    <col min="3" max="3" width="12.140625" style="82" bestFit="1" customWidth="1"/>
    <col min="4" max="4" width="11.42578125" style="82"/>
    <col min="5" max="5" width="4.140625" style="1" customWidth="1"/>
    <col min="6" max="7" width="11.42578125" style="1"/>
    <col min="8" max="8" width="11.85546875" style="1" bestFit="1" customWidth="1"/>
    <col min="9" max="16382" width="11.42578125" style="1"/>
    <col min="16383" max="16384" width="11.42578125" style="110"/>
  </cols>
  <sheetData>
    <row r="1" spans="1:5 16383:16384">
      <c r="A1" s="83" t="s">
        <v>10</v>
      </c>
      <c r="B1" s="2"/>
      <c r="XFC1" s="14" t="s">
        <v>72</v>
      </c>
      <c r="XFD1" s="14" t="s">
        <v>75</v>
      </c>
    </row>
    <row r="2" spans="1:5 16383:16384">
      <c r="A2" s="84" t="s">
        <v>9</v>
      </c>
      <c r="B2" s="2"/>
      <c r="XFC2" s="14" t="s">
        <v>73</v>
      </c>
      <c r="XFD2" s="14" t="s">
        <v>76</v>
      </c>
    </row>
    <row r="3" spans="1:5 16383:16384" ht="15.75" thickBot="1">
      <c r="A3" s="85" t="s">
        <v>10</v>
      </c>
      <c r="B3" s="2"/>
      <c r="C3" s="95"/>
      <c r="D3" s="95"/>
      <c r="XFC3" s="14" t="s">
        <v>74</v>
      </c>
      <c r="XFD3" s="14" t="s">
        <v>77</v>
      </c>
    </row>
    <row r="4" spans="1:5 16383:16384" ht="15.75" thickBot="1">
      <c r="B4" s="94"/>
      <c r="C4" s="97" t="s">
        <v>0</v>
      </c>
      <c r="D4" s="97" t="s">
        <v>133</v>
      </c>
      <c r="E4" s="2"/>
      <c r="XFC4" s="14"/>
      <c r="XFD4" s="14" t="s">
        <v>78</v>
      </c>
    </row>
    <row r="5" spans="1:5 16383:16384" ht="15.75" thickBot="1">
      <c r="A5" s="87" t="str">
        <f>CONCATENATE("## TCSM3i Clock")</f>
        <v>## TCSM3i Clock</v>
      </c>
      <c r="B5" s="5"/>
      <c r="C5" s="97" t="s">
        <v>70</v>
      </c>
      <c r="D5" s="97" t="s">
        <v>77</v>
      </c>
      <c r="E5" s="2"/>
      <c r="XFC5" s="14"/>
      <c r="XFD5" s="14" t="s">
        <v>79</v>
      </c>
    </row>
    <row r="6" spans="1:5 16383:16384" ht="15.75" thickBot="1">
      <c r="A6" s="88" t="str">
        <f>CONCATENATE("ZWTC:CLOC_B,",D4,"1-0;")</f>
        <v>ZWTC:CLOC_B,1F1-0;</v>
      </c>
      <c r="B6" s="5"/>
      <c r="C6" s="97" t="s">
        <v>71</v>
      </c>
      <c r="D6" s="97" t="s">
        <v>72</v>
      </c>
      <c r="E6" s="2"/>
      <c r="XFC6" s="14"/>
      <c r="XFD6" s="14" t="s">
        <v>80</v>
      </c>
    </row>
    <row r="7" spans="1:5 16383:16384" ht="15.75" thickBot="1">
      <c r="A7" s="89"/>
      <c r="B7" s="94"/>
      <c r="C7" s="97" t="s">
        <v>1</v>
      </c>
      <c r="D7" s="108">
        <v>972</v>
      </c>
      <c r="E7" s="2"/>
    </row>
    <row r="8" spans="1:5 16383:16384" ht="15.75" thickBot="1">
      <c r="A8" s="87" t="str">
        <f>CONCATENATE("## TCSM3i Rack")</f>
        <v>## TCSM3i Rack</v>
      </c>
      <c r="B8" s="93"/>
      <c r="C8" s="97" t="s">
        <v>2</v>
      </c>
      <c r="D8" s="108">
        <v>976</v>
      </c>
      <c r="E8" s="2"/>
    </row>
    <row r="9" spans="1:5 16383:16384" ht="15.75" thickBot="1">
      <c r="A9" s="88" t="str">
        <f>CONCATENATE("ZWTJ:TCSA,",D4,":AL=",D4,"1-0-4R1,PDFU=4;")</f>
        <v>ZWTJ:TCSA,1F:AL=1F1-0-4R1,PDFU=4;</v>
      </c>
      <c r="B9" s="93"/>
      <c r="C9" s="97" t="s">
        <v>3</v>
      </c>
      <c r="D9" s="108">
        <v>980</v>
      </c>
      <c r="E9" s="2"/>
    </row>
    <row r="10" spans="1:5 16383:16384" ht="15.75" thickBot="1">
      <c r="A10" s="89"/>
      <c r="B10" s="94"/>
      <c r="C10" s="97" t="s">
        <v>4</v>
      </c>
      <c r="D10" s="108">
        <v>983</v>
      </c>
      <c r="E10" s="2"/>
    </row>
    <row r="11" spans="1:5 16383:16384" ht="15.75" thickBot="1">
      <c r="A11" s="87" t="s">
        <v>81</v>
      </c>
      <c r="B11" s="93"/>
      <c r="C11" s="97" t="s">
        <v>5</v>
      </c>
      <c r="D11" s="108">
        <v>984</v>
      </c>
      <c r="E11" s="2"/>
    </row>
    <row r="12" spans="1:5 16383:16384">
      <c r="A12" s="90" t="s">
        <v>134</v>
      </c>
      <c r="B12" s="93"/>
      <c r="C12" s="97" t="s">
        <v>6</v>
      </c>
      <c r="D12" s="108">
        <v>988</v>
      </c>
      <c r="E12" s="2"/>
    </row>
    <row r="13" spans="1:5 16383:16384">
      <c r="A13" s="91" t="s">
        <v>135</v>
      </c>
      <c r="B13" s="93"/>
      <c r="C13" s="97" t="s">
        <v>7</v>
      </c>
      <c r="D13" s="108">
        <v>992</v>
      </c>
      <c r="E13" s="2"/>
    </row>
    <row r="14" spans="1:5 16383:16384">
      <c r="A14" s="91" t="s">
        <v>136</v>
      </c>
      <c r="B14" s="93"/>
      <c r="C14" s="97" t="s">
        <v>8</v>
      </c>
      <c r="D14" s="108">
        <v>994</v>
      </c>
      <c r="E14" s="2"/>
    </row>
    <row r="15" spans="1:5 16383:16384">
      <c r="A15" s="91" t="s">
        <v>137</v>
      </c>
      <c r="B15" s="93"/>
      <c r="C15" s="96" t="s">
        <v>11</v>
      </c>
      <c r="D15" s="96">
        <v>548</v>
      </c>
    </row>
    <row r="16" spans="1:5 16383:16384" ht="15.75" thickBot="1">
      <c r="A16" s="92"/>
      <c r="B16" s="93"/>
      <c r="C16" s="82" t="s">
        <v>12</v>
      </c>
      <c r="D16" s="82">
        <v>612</v>
      </c>
    </row>
    <row r="17" spans="1:4" ht="15.75" thickBot="1">
      <c r="A17" s="87" t="s">
        <v>138</v>
      </c>
      <c r="B17" s="93"/>
      <c r="C17" s="82" t="s">
        <v>13</v>
      </c>
      <c r="D17" s="82">
        <v>616</v>
      </c>
    </row>
    <row r="18" spans="1:4">
      <c r="A18" s="91" t="s">
        <v>139</v>
      </c>
      <c r="B18" s="93"/>
      <c r="C18" s="82" t="s">
        <v>14</v>
      </c>
      <c r="D18" s="82">
        <v>620</v>
      </c>
    </row>
    <row r="19" spans="1:4">
      <c r="A19" s="91" t="s">
        <v>140</v>
      </c>
      <c r="B19" s="93"/>
      <c r="C19" s="82" t="s">
        <v>15</v>
      </c>
      <c r="D19" s="82">
        <v>624</v>
      </c>
    </row>
    <row r="20" spans="1:4">
      <c r="A20" s="91" t="s">
        <v>159</v>
      </c>
      <c r="B20" s="93"/>
      <c r="C20" s="82" t="s">
        <v>16</v>
      </c>
      <c r="D20" s="82">
        <v>628</v>
      </c>
    </row>
    <row r="21" spans="1:4">
      <c r="A21" s="91" t="s">
        <v>141</v>
      </c>
      <c r="B21" s="93"/>
      <c r="C21" s="82" t="s">
        <v>17</v>
      </c>
      <c r="D21" s="82">
        <v>868</v>
      </c>
    </row>
    <row r="22" spans="1:4">
      <c r="A22" s="91" t="s">
        <v>142</v>
      </c>
      <c r="B22" s="94"/>
      <c r="C22" s="82" t="s">
        <v>18</v>
      </c>
      <c r="D22" s="82">
        <v>636</v>
      </c>
    </row>
    <row r="23" spans="1:4">
      <c r="A23" s="91" t="s">
        <v>160</v>
      </c>
    </row>
    <row r="24" spans="1:4">
      <c r="A24" s="91"/>
    </row>
    <row r="25" spans="1:4">
      <c r="A25" s="91" t="s">
        <v>143</v>
      </c>
    </row>
    <row r="26" spans="1:4">
      <c r="A26" s="91" t="s">
        <v>144</v>
      </c>
    </row>
    <row r="27" spans="1:4">
      <c r="A27" s="91" t="s">
        <v>161</v>
      </c>
    </row>
    <row r="28" spans="1:4">
      <c r="A28" s="91" t="s">
        <v>162</v>
      </c>
    </row>
    <row r="29" spans="1:4">
      <c r="A29" s="91"/>
    </row>
    <row r="30" spans="1:4">
      <c r="A30" s="91" t="s">
        <v>145</v>
      </c>
    </row>
    <row r="31" spans="1:4">
      <c r="A31" s="91" t="s">
        <v>146</v>
      </c>
    </row>
    <row r="32" spans="1:4">
      <c r="A32" s="91" t="s">
        <v>163</v>
      </c>
    </row>
    <row r="33" spans="1:1">
      <c r="A33" s="91" t="s">
        <v>164</v>
      </c>
    </row>
    <row r="34" spans="1:1">
      <c r="A34" s="91"/>
    </row>
    <row r="35" spans="1:1">
      <c r="A35" s="91" t="s">
        <v>147</v>
      </c>
    </row>
    <row r="36" spans="1:1">
      <c r="A36" s="91" t="s">
        <v>148</v>
      </c>
    </row>
    <row r="37" spans="1:1">
      <c r="A37" s="91" t="s">
        <v>165</v>
      </c>
    </row>
    <row r="38" spans="1:1">
      <c r="A38" s="91" t="s">
        <v>166</v>
      </c>
    </row>
    <row r="39" spans="1:1">
      <c r="A39" s="91"/>
    </row>
    <row r="40" spans="1:1">
      <c r="A40" s="91" t="s">
        <v>149</v>
      </c>
    </row>
    <row r="41" spans="1:1">
      <c r="A41" s="91" t="s">
        <v>150</v>
      </c>
    </row>
    <row r="42" spans="1:1">
      <c r="A42" s="91" t="s">
        <v>151</v>
      </c>
    </row>
    <row r="43" spans="1:1">
      <c r="A43" s="91" t="s">
        <v>167</v>
      </c>
    </row>
    <row r="44" spans="1:1">
      <c r="A44" s="91" t="s">
        <v>152</v>
      </c>
    </row>
    <row r="45" spans="1:1">
      <c r="A45" s="91" t="s">
        <v>168</v>
      </c>
    </row>
    <row r="46" spans="1:1">
      <c r="A46" s="91"/>
    </row>
    <row r="47" spans="1:1">
      <c r="A47" s="91" t="s">
        <v>153</v>
      </c>
    </row>
    <row r="48" spans="1:1">
      <c r="A48" s="91" t="s">
        <v>154</v>
      </c>
    </row>
    <row r="49" spans="1:1">
      <c r="A49" s="91" t="s">
        <v>169</v>
      </c>
    </row>
    <row r="50" spans="1:1">
      <c r="A50" s="91" t="s">
        <v>170</v>
      </c>
    </row>
    <row r="51" spans="1:1">
      <c r="A51" s="91"/>
    </row>
    <row r="52" spans="1:1">
      <c r="A52" s="91" t="s">
        <v>155</v>
      </c>
    </row>
    <row r="53" spans="1:1">
      <c r="A53" s="91" t="s">
        <v>156</v>
      </c>
    </row>
    <row r="54" spans="1:1">
      <c r="A54" s="91" t="s">
        <v>171</v>
      </c>
    </row>
    <row r="55" spans="1:1">
      <c r="A55" s="91" t="s">
        <v>172</v>
      </c>
    </row>
    <row r="56" spans="1:1">
      <c r="A56" s="91"/>
    </row>
    <row r="57" spans="1:1">
      <c r="A57" s="91" t="s">
        <v>157</v>
      </c>
    </row>
    <row r="58" spans="1:1">
      <c r="A58" s="91" t="s">
        <v>158</v>
      </c>
    </row>
    <row r="59" spans="1:1">
      <c r="A59" s="91" t="s">
        <v>173</v>
      </c>
    </row>
    <row r="60" spans="1:1">
      <c r="A60" s="91" t="s">
        <v>174</v>
      </c>
    </row>
    <row r="61" spans="1:1">
      <c r="A61" s="91"/>
    </row>
    <row r="62" spans="1:1">
      <c r="A62" s="91"/>
    </row>
    <row r="63" spans="1:1">
      <c r="A63" s="91"/>
    </row>
    <row r="64" spans="1:1">
      <c r="A64" s="91"/>
    </row>
    <row r="65" spans="1:1">
      <c r="A65" s="91"/>
    </row>
    <row r="66" spans="1:1">
      <c r="A66" s="91"/>
    </row>
    <row r="67" spans="1:1">
      <c r="A67" s="91"/>
    </row>
    <row r="68" spans="1:1">
      <c r="A68" s="91"/>
    </row>
    <row r="69" spans="1:1">
      <c r="A69" s="91"/>
    </row>
    <row r="70" spans="1:1">
      <c r="A70" s="91"/>
    </row>
    <row r="71" spans="1:1">
      <c r="A71" s="91"/>
    </row>
    <row r="72" spans="1:1">
      <c r="A72" s="91"/>
    </row>
    <row r="73" spans="1:1">
      <c r="A73" s="91"/>
    </row>
    <row r="74" spans="1:1">
      <c r="A74" s="91"/>
    </row>
    <row r="75" spans="1:1">
      <c r="A75" s="91"/>
    </row>
    <row r="76" spans="1:1">
      <c r="A76" s="91"/>
    </row>
    <row r="77" spans="1:1">
      <c r="A77" s="91"/>
    </row>
    <row r="78" spans="1:1">
      <c r="A78" s="91"/>
    </row>
    <row r="79" spans="1:1">
      <c r="A79" s="91"/>
    </row>
    <row r="80" spans="1:1">
      <c r="A80" s="91"/>
    </row>
    <row r="81" spans="1:1">
      <c r="A81" s="91"/>
    </row>
    <row r="82" spans="1:1">
      <c r="A82" s="91"/>
    </row>
    <row r="83" spans="1:1">
      <c r="A83" s="91"/>
    </row>
    <row r="84" spans="1:1">
      <c r="A84" s="91"/>
    </row>
    <row r="85" spans="1:1">
      <c r="A85" s="91"/>
    </row>
    <row r="86" spans="1:1">
      <c r="A86" s="91"/>
    </row>
    <row r="87" spans="1:1">
      <c r="A87" s="91"/>
    </row>
    <row r="88" spans="1:1">
      <c r="A88" s="91"/>
    </row>
    <row r="89" spans="1:1">
      <c r="A89" s="91"/>
    </row>
    <row r="90" spans="1:1">
      <c r="A90" s="91"/>
    </row>
    <row r="91" spans="1:1">
      <c r="A91" s="91"/>
    </row>
    <row r="92" spans="1:1">
      <c r="A92" s="91"/>
    </row>
    <row r="93" spans="1:1">
      <c r="A93" s="91"/>
    </row>
    <row r="94" spans="1:1">
      <c r="A94" s="91"/>
    </row>
    <row r="95" spans="1:1">
      <c r="A95" s="91"/>
    </row>
    <row r="96" spans="1:1">
      <c r="A96" s="91"/>
    </row>
    <row r="97" spans="1:1">
      <c r="A97" s="91"/>
    </row>
    <row r="98" spans="1:1">
      <c r="A98" s="91"/>
    </row>
    <row r="99" spans="1:1">
      <c r="A99" s="91"/>
    </row>
    <row r="100" spans="1:1">
      <c r="A100" s="91"/>
    </row>
    <row r="101" spans="1:1">
      <c r="A101" s="91"/>
    </row>
    <row r="102" spans="1:1">
      <c r="A102" s="91"/>
    </row>
    <row r="103" spans="1:1">
      <c r="A103" s="91"/>
    </row>
    <row r="104" spans="1:1">
      <c r="A104" s="91"/>
    </row>
    <row r="105" spans="1:1">
      <c r="A105" s="91"/>
    </row>
    <row r="106" spans="1:1">
      <c r="A106" s="91"/>
    </row>
    <row r="107" spans="1:1">
      <c r="A107" s="91"/>
    </row>
    <row r="108" spans="1:1">
      <c r="A108" s="91"/>
    </row>
    <row r="109" spans="1:1">
      <c r="A109" s="91"/>
    </row>
    <row r="110" spans="1:1">
      <c r="A110" s="91"/>
    </row>
    <row r="111" spans="1:1">
      <c r="A111" s="91"/>
    </row>
    <row r="112" spans="1:1">
      <c r="A112" s="91"/>
    </row>
    <row r="113" spans="1:1">
      <c r="A113" s="91"/>
    </row>
    <row r="114" spans="1:1">
      <c r="A114" s="91"/>
    </row>
    <row r="115" spans="1:1">
      <c r="A115" s="91"/>
    </row>
    <row r="116" spans="1:1">
      <c r="A116" s="91"/>
    </row>
    <row r="117" spans="1:1">
      <c r="A117" s="91"/>
    </row>
    <row r="118" spans="1:1">
      <c r="A118" s="91"/>
    </row>
    <row r="119" spans="1:1">
      <c r="A119" s="91"/>
    </row>
    <row r="120" spans="1:1">
      <c r="A120" s="91"/>
    </row>
    <row r="121" spans="1:1">
      <c r="A121" s="91"/>
    </row>
    <row r="122" spans="1:1">
      <c r="A122" s="91"/>
    </row>
    <row r="123" spans="1:1">
      <c r="A123" s="91"/>
    </row>
    <row r="124" spans="1:1">
      <c r="A124" s="91"/>
    </row>
    <row r="125" spans="1:1">
      <c r="A125" s="91"/>
    </row>
    <row r="126" spans="1:1">
      <c r="A126" s="91"/>
    </row>
    <row r="127" spans="1:1">
      <c r="A127" s="91"/>
    </row>
    <row r="128" spans="1:1">
      <c r="A128" s="91"/>
    </row>
    <row r="129" spans="1:1">
      <c r="A129" s="91"/>
    </row>
    <row r="130" spans="1:1">
      <c r="A130" s="91"/>
    </row>
    <row r="131" spans="1:1">
      <c r="A131" s="91"/>
    </row>
    <row r="132" spans="1:1">
      <c r="A132" s="91"/>
    </row>
    <row r="133" spans="1:1">
      <c r="A133" s="91"/>
    </row>
    <row r="134" spans="1:1">
      <c r="A134" s="91"/>
    </row>
    <row r="135" spans="1:1">
      <c r="A135" s="91"/>
    </row>
    <row r="136" spans="1:1">
      <c r="A136" s="91"/>
    </row>
    <row r="137" spans="1:1">
      <c r="A137" s="91"/>
    </row>
    <row r="138" spans="1:1">
      <c r="A138" s="91"/>
    </row>
    <row r="139" spans="1:1">
      <c r="A139" s="91"/>
    </row>
    <row r="140" spans="1:1">
      <c r="A140" s="91"/>
    </row>
    <row r="141" spans="1:1">
      <c r="A141" s="91"/>
    </row>
    <row r="142" spans="1:1">
      <c r="A142" s="91"/>
    </row>
    <row r="143" spans="1:1">
      <c r="A143" s="91"/>
    </row>
    <row r="144" spans="1:1">
      <c r="A144" s="91"/>
    </row>
    <row r="145" spans="1:1">
      <c r="A145" s="91"/>
    </row>
    <row r="146" spans="1:1">
      <c r="A146" s="91"/>
    </row>
    <row r="147" spans="1:1">
      <c r="A147" s="91"/>
    </row>
    <row r="148" spans="1:1">
      <c r="A148" s="91"/>
    </row>
    <row r="149" spans="1:1">
      <c r="A149" s="91"/>
    </row>
    <row r="150" spans="1:1">
      <c r="A150" s="91"/>
    </row>
  </sheetData>
  <sheetProtection password="B6E0" sheet="1" objects="1" scenarios="1"/>
  <protectedRanges>
    <protectedRange sqref="A1:A150" name="Rango1"/>
    <protectedRange sqref="D4:D22" name="Rango2"/>
  </protectedRanges>
  <conditionalFormatting sqref="C15:D22">
    <cfRule type="expression" dxfId="5" priority="1">
      <formula>$D$6="2° Half"</formula>
    </cfRule>
    <cfRule type="expression" dxfId="4" priority="2">
      <formula>$D$6="1° Half"</formula>
    </cfRule>
    <cfRule type="expression" dxfId="3" priority="3">
      <formula>$D$6="Entire"</formula>
    </cfRule>
  </conditionalFormatting>
  <dataValidations count="2">
    <dataValidation type="list" allowBlank="1" showInputMessage="1" showErrorMessage="1" sqref="D6">
      <formula1>$XFC$1:$XFC$3</formula1>
    </dataValidation>
    <dataValidation type="list" allowBlank="1" showInputMessage="1" showErrorMessage="1" sqref="D5">
      <formula1>$XFD$1:$XFD$6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r:id="rId5">
            <anchor moveWithCells="1">
              <from>
                <xdr:col>1</xdr:col>
                <xdr:colOff>752475</xdr:colOff>
                <xdr:row>0</xdr:row>
                <xdr:rowOff>95250</xdr:rowOff>
              </from>
              <to>
                <xdr:col>4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307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FD250"/>
  <sheetViews>
    <sheetView workbookViewId="0">
      <selection activeCell="D7" sqref="D7:D14"/>
    </sheetView>
  </sheetViews>
  <sheetFormatPr defaultColWidth="11.42578125" defaultRowHeight="15"/>
  <cols>
    <col min="1" max="1" width="75.42578125" style="86" bestFit="1" customWidth="1"/>
    <col min="2" max="2" width="11.42578125" style="1"/>
    <col min="3" max="3" width="12.140625" style="82" bestFit="1" customWidth="1"/>
    <col min="4" max="4" width="11.42578125" style="82"/>
    <col min="5" max="5" width="4.140625" style="1" customWidth="1"/>
    <col min="6" max="7" width="11.42578125" style="1"/>
    <col min="8" max="8" width="11.85546875" style="1" bestFit="1" customWidth="1"/>
    <col min="9" max="16384" width="11.42578125" style="1"/>
  </cols>
  <sheetData>
    <row r="1" spans="1:5 16383:16384">
      <c r="A1" s="83" t="s">
        <v>10</v>
      </c>
      <c r="B1" s="2"/>
      <c r="XFC1" s="82" t="s">
        <v>72</v>
      </c>
      <c r="XFD1" s="82" t="s">
        <v>75</v>
      </c>
    </row>
    <row r="2" spans="1:5 16383:16384">
      <c r="A2" s="84" t="s">
        <v>83</v>
      </c>
      <c r="B2" s="2"/>
      <c r="XFC2" s="82" t="s">
        <v>73</v>
      </c>
      <c r="XFD2" s="82" t="s">
        <v>76</v>
      </c>
    </row>
    <row r="3" spans="1:5 16383:16384" ht="15.75" thickBot="1">
      <c r="A3" s="85" t="s">
        <v>10</v>
      </c>
      <c r="B3" s="2"/>
      <c r="C3" s="95"/>
      <c r="D3" s="95"/>
      <c r="XFC3" s="82" t="s">
        <v>74</v>
      </c>
      <c r="XFD3" s="82" t="s">
        <v>77</v>
      </c>
    </row>
    <row r="4" spans="1:5 16383:16384" ht="15.75" thickBot="1">
      <c r="B4" s="94"/>
      <c r="C4" s="97" t="s">
        <v>0</v>
      </c>
      <c r="D4" s="97" t="s">
        <v>84</v>
      </c>
      <c r="E4" s="2"/>
      <c r="XFC4" s="82"/>
      <c r="XFD4" s="82" t="s">
        <v>78</v>
      </c>
    </row>
    <row r="5" spans="1:5 16383:16384" ht="15.75" thickBot="1">
      <c r="A5" s="87" t="s">
        <v>85</v>
      </c>
      <c r="B5" s="5"/>
      <c r="C5" s="97" t="s">
        <v>70</v>
      </c>
      <c r="D5" s="97" t="s">
        <v>79</v>
      </c>
      <c r="E5" s="2"/>
      <c r="XFC5" s="82"/>
      <c r="XFD5" s="82" t="s">
        <v>79</v>
      </c>
    </row>
    <row r="6" spans="1:5 16383:16384">
      <c r="A6" s="98" t="s">
        <v>86</v>
      </c>
      <c r="B6" s="5"/>
      <c r="C6" s="97" t="s">
        <v>71</v>
      </c>
      <c r="D6" s="97" t="s">
        <v>72</v>
      </c>
      <c r="E6" s="2"/>
      <c r="XFC6" s="82"/>
      <c r="XFD6" s="82" t="s">
        <v>80</v>
      </c>
    </row>
    <row r="7" spans="1:5 16383:16384">
      <c r="A7" s="98" t="s">
        <v>87</v>
      </c>
      <c r="B7" s="93"/>
      <c r="C7" s="97" t="s">
        <v>1</v>
      </c>
      <c r="D7" s="108">
        <v>872</v>
      </c>
      <c r="E7" s="2"/>
    </row>
    <row r="8" spans="1:5 16383:16384">
      <c r="A8" s="98" t="s">
        <v>87</v>
      </c>
      <c r="B8" s="93"/>
      <c r="C8" s="97" t="s">
        <v>2</v>
      </c>
      <c r="D8" s="108">
        <v>876</v>
      </c>
      <c r="E8" s="2"/>
    </row>
    <row r="9" spans="1:5 16383:16384">
      <c r="A9" s="98" t="s">
        <v>87</v>
      </c>
      <c r="B9" s="93"/>
      <c r="C9" s="97" t="s">
        <v>3</v>
      </c>
      <c r="D9" s="108">
        <v>880</v>
      </c>
      <c r="E9" s="2"/>
    </row>
    <row r="10" spans="1:5 16383:16384">
      <c r="A10" s="98" t="s">
        <v>87</v>
      </c>
      <c r="B10" s="93"/>
      <c r="C10" s="97" t="s">
        <v>4</v>
      </c>
      <c r="D10" s="108">
        <v>884</v>
      </c>
      <c r="E10" s="2"/>
    </row>
    <row r="11" spans="1:5 16383:16384">
      <c r="A11" s="98" t="s">
        <v>88</v>
      </c>
      <c r="B11" s="93"/>
      <c r="C11" s="97" t="s">
        <v>5</v>
      </c>
      <c r="D11" s="108">
        <v>888</v>
      </c>
      <c r="E11" s="2"/>
    </row>
    <row r="12" spans="1:5 16383:16384">
      <c r="A12" s="98" t="s">
        <v>89</v>
      </c>
      <c r="B12" s="93"/>
      <c r="C12" s="97" t="s">
        <v>6</v>
      </c>
      <c r="D12" s="108">
        <v>892</v>
      </c>
      <c r="E12" s="2"/>
    </row>
    <row r="13" spans="1:5 16383:16384">
      <c r="A13" s="98" t="s">
        <v>90</v>
      </c>
      <c r="B13" s="93"/>
      <c r="C13" s="97" t="s">
        <v>7</v>
      </c>
      <c r="D13" s="108">
        <v>904</v>
      </c>
      <c r="E13" s="2"/>
    </row>
    <row r="14" spans="1:5 16383:16384">
      <c r="A14" s="98" t="s">
        <v>91</v>
      </c>
      <c r="B14" s="93"/>
      <c r="C14" s="97" t="s">
        <v>8</v>
      </c>
      <c r="D14" s="108">
        <v>908</v>
      </c>
      <c r="E14" s="2"/>
    </row>
    <row r="15" spans="1:5 16383:16384">
      <c r="A15" s="98" t="s">
        <v>92</v>
      </c>
      <c r="B15" s="93"/>
      <c r="C15" s="96" t="s">
        <v>11</v>
      </c>
      <c r="D15" s="96">
        <v>608</v>
      </c>
    </row>
    <row r="16" spans="1:5 16383:16384">
      <c r="A16" s="98"/>
      <c r="B16" s="93"/>
      <c r="C16" s="82" t="s">
        <v>12</v>
      </c>
      <c r="D16" s="82">
        <v>612</v>
      </c>
    </row>
    <row r="17" spans="1:4">
      <c r="A17" s="98"/>
      <c r="B17" s="93"/>
      <c r="C17" s="82" t="s">
        <v>13</v>
      </c>
      <c r="D17" s="82">
        <v>616</v>
      </c>
    </row>
    <row r="18" spans="1:4">
      <c r="A18" s="98" t="s">
        <v>93</v>
      </c>
      <c r="B18" s="93"/>
      <c r="C18" s="82" t="s">
        <v>14</v>
      </c>
      <c r="D18" s="82">
        <v>620</v>
      </c>
    </row>
    <row r="19" spans="1:4">
      <c r="A19" s="98" t="s">
        <v>94</v>
      </c>
      <c r="B19" s="93"/>
      <c r="C19" s="82" t="s">
        <v>15</v>
      </c>
      <c r="D19" s="82">
        <v>624</v>
      </c>
    </row>
    <row r="20" spans="1:4">
      <c r="A20" s="98" t="s">
        <v>95</v>
      </c>
      <c r="B20" s="93"/>
      <c r="C20" s="82" t="s">
        <v>16</v>
      </c>
      <c r="D20" s="82">
        <v>628</v>
      </c>
    </row>
    <row r="21" spans="1:4">
      <c r="A21" s="98" t="s">
        <v>95</v>
      </c>
      <c r="B21" s="93"/>
      <c r="C21" s="82" t="s">
        <v>17</v>
      </c>
      <c r="D21" s="82">
        <v>868</v>
      </c>
    </row>
    <row r="22" spans="1:4">
      <c r="A22" s="98" t="s">
        <v>95</v>
      </c>
      <c r="B22" s="93"/>
      <c r="C22" s="82" t="s">
        <v>18</v>
      </c>
      <c r="D22" s="82">
        <v>636</v>
      </c>
    </row>
    <row r="23" spans="1:4">
      <c r="A23" s="98" t="s">
        <v>95</v>
      </c>
      <c r="B23" s="2"/>
    </row>
    <row r="24" spans="1:4">
      <c r="A24" s="98" t="s">
        <v>96</v>
      </c>
      <c r="B24" s="2"/>
    </row>
    <row r="25" spans="1:4">
      <c r="A25" s="90" t="s">
        <v>97</v>
      </c>
    </row>
    <row r="26" spans="1:4">
      <c r="A26" s="91"/>
    </row>
    <row r="27" spans="1:4">
      <c r="A27" s="91"/>
    </row>
    <row r="28" spans="1:4">
      <c r="A28" s="91" t="s">
        <v>98</v>
      </c>
    </row>
    <row r="29" spans="1:4">
      <c r="A29" s="91" t="s">
        <v>99</v>
      </c>
    </row>
    <row r="30" spans="1:4">
      <c r="A30" s="91" t="s">
        <v>100</v>
      </c>
    </row>
    <row r="31" spans="1:4">
      <c r="A31" s="91" t="s">
        <v>100</v>
      </c>
    </row>
    <row r="32" spans="1:4">
      <c r="A32" s="91" t="s">
        <v>100</v>
      </c>
    </row>
    <row r="33" spans="1:1">
      <c r="A33" s="91" t="s">
        <v>100</v>
      </c>
    </row>
    <row r="34" spans="1:1">
      <c r="A34" s="91" t="s">
        <v>101</v>
      </c>
    </row>
    <row r="35" spans="1:1">
      <c r="A35" s="91" t="s">
        <v>102</v>
      </c>
    </row>
    <row r="36" spans="1:1">
      <c r="A36" s="91"/>
    </row>
    <row r="37" spans="1:1">
      <c r="A37" s="91"/>
    </row>
    <row r="38" spans="1:1">
      <c r="A38" s="91" t="s">
        <v>103</v>
      </c>
    </row>
    <row r="39" spans="1:1">
      <c r="A39" s="91" t="s">
        <v>104</v>
      </c>
    </row>
    <row r="40" spans="1:1">
      <c r="A40" s="91" t="s">
        <v>105</v>
      </c>
    </row>
    <row r="41" spans="1:1">
      <c r="A41" s="91" t="s">
        <v>105</v>
      </c>
    </row>
    <row r="42" spans="1:1">
      <c r="A42" s="91" t="s">
        <v>105</v>
      </c>
    </row>
    <row r="43" spans="1:1">
      <c r="A43" s="91" t="s">
        <v>105</v>
      </c>
    </row>
    <row r="44" spans="1:1">
      <c r="A44" s="91" t="s">
        <v>106</v>
      </c>
    </row>
    <row r="45" spans="1:1">
      <c r="A45" s="91" t="s">
        <v>107</v>
      </c>
    </row>
    <row r="46" spans="1:1">
      <c r="A46" s="91"/>
    </row>
    <row r="47" spans="1:1">
      <c r="A47" s="91"/>
    </row>
    <row r="48" spans="1:1">
      <c r="A48" s="91" t="s">
        <v>108</v>
      </c>
    </row>
    <row r="49" spans="1:1">
      <c r="A49" s="91" t="s">
        <v>109</v>
      </c>
    </row>
    <row r="50" spans="1:1">
      <c r="A50" s="91" t="s">
        <v>110</v>
      </c>
    </row>
    <row r="51" spans="1:1">
      <c r="A51" s="91" t="s">
        <v>110</v>
      </c>
    </row>
    <row r="52" spans="1:1">
      <c r="A52" s="91" t="s">
        <v>110</v>
      </c>
    </row>
    <row r="53" spans="1:1">
      <c r="A53" s="91" t="s">
        <v>110</v>
      </c>
    </row>
    <row r="54" spans="1:1">
      <c r="A54" s="91" t="s">
        <v>111</v>
      </c>
    </row>
    <row r="55" spans="1:1">
      <c r="A55" s="91" t="s">
        <v>112</v>
      </c>
    </row>
    <row r="56" spans="1:1">
      <c r="A56" s="91" t="s">
        <v>113</v>
      </c>
    </row>
    <row r="57" spans="1:1">
      <c r="A57" s="91" t="s">
        <v>114</v>
      </c>
    </row>
    <row r="58" spans="1:1">
      <c r="A58" s="91"/>
    </row>
    <row r="59" spans="1:1">
      <c r="A59" s="91"/>
    </row>
    <row r="60" spans="1:1">
      <c r="A60" s="91" t="s">
        <v>115</v>
      </c>
    </row>
    <row r="61" spans="1:1">
      <c r="A61" s="91" t="s">
        <v>116</v>
      </c>
    </row>
    <row r="62" spans="1:1">
      <c r="A62" s="91" t="s">
        <v>117</v>
      </c>
    </row>
    <row r="63" spans="1:1">
      <c r="A63" s="91" t="s">
        <v>117</v>
      </c>
    </row>
    <row r="64" spans="1:1">
      <c r="A64" s="91" t="s">
        <v>117</v>
      </c>
    </row>
    <row r="65" spans="1:1">
      <c r="A65" s="91" t="s">
        <v>117</v>
      </c>
    </row>
    <row r="66" spans="1:1">
      <c r="A66" s="91" t="s">
        <v>118</v>
      </c>
    </row>
    <row r="67" spans="1:1">
      <c r="A67" s="91" t="s">
        <v>119</v>
      </c>
    </row>
    <row r="68" spans="1:1">
      <c r="A68" s="91"/>
    </row>
    <row r="69" spans="1:1">
      <c r="A69" s="91"/>
    </row>
    <row r="70" spans="1:1">
      <c r="A70" s="91" t="s">
        <v>120</v>
      </c>
    </row>
    <row r="71" spans="1:1">
      <c r="A71" s="91" t="s">
        <v>121</v>
      </c>
    </row>
    <row r="72" spans="1:1">
      <c r="A72" s="91" t="s">
        <v>122</v>
      </c>
    </row>
    <row r="73" spans="1:1">
      <c r="A73" s="91" t="s">
        <v>122</v>
      </c>
    </row>
    <row r="74" spans="1:1">
      <c r="A74" s="91" t="s">
        <v>122</v>
      </c>
    </row>
    <row r="75" spans="1:1">
      <c r="A75" s="91" t="s">
        <v>122</v>
      </c>
    </row>
    <row r="76" spans="1:1">
      <c r="A76" s="91" t="s">
        <v>123</v>
      </c>
    </row>
    <row r="77" spans="1:1">
      <c r="A77" s="91" t="s">
        <v>124</v>
      </c>
    </row>
    <row r="78" spans="1:1">
      <c r="A78" s="91"/>
    </row>
    <row r="79" spans="1:1">
      <c r="A79" s="91"/>
    </row>
    <row r="80" spans="1:1">
      <c r="A80" s="91" t="s">
        <v>125</v>
      </c>
    </row>
    <row r="81" spans="1:1">
      <c r="A81" s="91" t="s">
        <v>126</v>
      </c>
    </row>
    <row r="82" spans="1:1">
      <c r="A82" s="91" t="s">
        <v>127</v>
      </c>
    </row>
    <row r="83" spans="1:1">
      <c r="A83" s="91" t="s">
        <v>127</v>
      </c>
    </row>
    <row r="84" spans="1:1">
      <c r="A84" s="91" t="s">
        <v>127</v>
      </c>
    </row>
    <row r="85" spans="1:1">
      <c r="A85" s="91" t="s">
        <v>127</v>
      </c>
    </row>
    <row r="86" spans="1:1">
      <c r="A86" s="91" t="s">
        <v>128</v>
      </c>
    </row>
    <row r="87" spans="1:1">
      <c r="A87" s="91" t="s">
        <v>129</v>
      </c>
    </row>
    <row r="88" spans="1:1">
      <c r="A88" s="91"/>
    </row>
    <row r="89" spans="1:1">
      <c r="A89" s="91"/>
    </row>
    <row r="90" spans="1:1">
      <c r="A90" s="91" t="s">
        <v>82</v>
      </c>
    </row>
    <row r="91" spans="1:1">
      <c r="A91" s="91" t="s">
        <v>130</v>
      </c>
    </row>
    <row r="92" spans="1:1">
      <c r="A92" s="91" t="s">
        <v>131</v>
      </c>
    </row>
    <row r="93" spans="1:1">
      <c r="A93" s="91" t="s">
        <v>132</v>
      </c>
    </row>
    <row r="94" spans="1:1">
      <c r="A94" s="91"/>
    </row>
    <row r="95" spans="1:1">
      <c r="A95" s="91"/>
    </row>
    <row r="96" spans="1:1">
      <c r="A96" s="91"/>
    </row>
    <row r="97" spans="1:1">
      <c r="A97" s="91"/>
    </row>
    <row r="98" spans="1:1">
      <c r="A98" s="91"/>
    </row>
    <row r="99" spans="1:1">
      <c r="A99" s="91"/>
    </row>
    <row r="100" spans="1:1">
      <c r="A100" s="91"/>
    </row>
    <row r="101" spans="1:1">
      <c r="A101" s="91"/>
    </row>
    <row r="102" spans="1:1">
      <c r="A102" s="91"/>
    </row>
    <row r="103" spans="1:1">
      <c r="A103" s="91"/>
    </row>
    <row r="104" spans="1:1">
      <c r="A104" s="91"/>
    </row>
    <row r="105" spans="1:1">
      <c r="A105" s="91"/>
    </row>
    <row r="106" spans="1:1">
      <c r="A106" s="91"/>
    </row>
    <row r="107" spans="1:1">
      <c r="A107" s="91"/>
    </row>
    <row r="108" spans="1:1">
      <c r="A108" s="91"/>
    </row>
    <row r="109" spans="1:1">
      <c r="A109" s="91"/>
    </row>
    <row r="110" spans="1:1">
      <c r="A110" s="91"/>
    </row>
    <row r="111" spans="1:1">
      <c r="A111" s="91"/>
    </row>
    <row r="112" spans="1:1">
      <c r="A112" s="91"/>
    </row>
    <row r="113" spans="1:1">
      <c r="A113" s="91"/>
    </row>
    <row r="114" spans="1:1">
      <c r="A114" s="91"/>
    </row>
    <row r="115" spans="1:1">
      <c r="A115" s="91"/>
    </row>
    <row r="116" spans="1:1">
      <c r="A116" s="91"/>
    </row>
    <row r="117" spans="1:1">
      <c r="A117" s="91"/>
    </row>
    <row r="118" spans="1:1">
      <c r="A118" s="91"/>
    </row>
    <row r="119" spans="1:1">
      <c r="A119" s="91"/>
    </row>
    <row r="120" spans="1:1">
      <c r="A120" s="91"/>
    </row>
    <row r="121" spans="1:1">
      <c r="A121" s="91"/>
    </row>
    <row r="122" spans="1:1">
      <c r="A122" s="91"/>
    </row>
    <row r="123" spans="1:1">
      <c r="A123" s="91"/>
    </row>
    <row r="124" spans="1:1">
      <c r="A124" s="91"/>
    </row>
    <row r="125" spans="1:1">
      <c r="A125" s="91"/>
    </row>
    <row r="126" spans="1:1">
      <c r="A126" s="91"/>
    </row>
    <row r="127" spans="1:1">
      <c r="A127" s="91"/>
    </row>
    <row r="128" spans="1:1">
      <c r="A128" s="91"/>
    </row>
    <row r="129" spans="1:1">
      <c r="A129" s="91"/>
    </row>
    <row r="130" spans="1:1">
      <c r="A130" s="91"/>
    </row>
    <row r="131" spans="1:1">
      <c r="A131" s="91"/>
    </row>
    <row r="132" spans="1:1">
      <c r="A132" s="91"/>
    </row>
    <row r="133" spans="1:1">
      <c r="A133" s="91"/>
    </row>
    <row r="134" spans="1:1">
      <c r="A134" s="91"/>
    </row>
    <row r="135" spans="1:1">
      <c r="A135" s="91"/>
    </row>
    <row r="136" spans="1:1">
      <c r="A136" s="91"/>
    </row>
    <row r="137" spans="1:1">
      <c r="A137" s="91"/>
    </row>
    <row r="138" spans="1:1">
      <c r="A138" s="91"/>
    </row>
    <row r="139" spans="1:1">
      <c r="A139" s="91"/>
    </row>
    <row r="140" spans="1:1">
      <c r="A140" s="91"/>
    </row>
    <row r="141" spans="1:1">
      <c r="A141" s="91"/>
    </row>
    <row r="142" spans="1:1">
      <c r="A142" s="91"/>
    </row>
    <row r="143" spans="1:1">
      <c r="A143" s="91"/>
    </row>
    <row r="144" spans="1:1">
      <c r="A144" s="91"/>
    </row>
    <row r="145" spans="1:1">
      <c r="A145" s="91"/>
    </row>
    <row r="146" spans="1:1">
      <c r="A146" s="91"/>
    </row>
    <row r="147" spans="1:1">
      <c r="A147" s="91"/>
    </row>
    <row r="148" spans="1:1">
      <c r="A148" s="91"/>
    </row>
    <row r="149" spans="1:1">
      <c r="A149" s="91"/>
    </row>
    <row r="150" spans="1:1">
      <c r="A150" s="91"/>
    </row>
    <row r="151" spans="1:1">
      <c r="A151" s="91"/>
    </row>
    <row r="152" spans="1:1">
      <c r="A152" s="91"/>
    </row>
    <row r="153" spans="1:1">
      <c r="A153" s="91"/>
    </row>
    <row r="154" spans="1:1">
      <c r="A154" s="91"/>
    </row>
    <row r="155" spans="1:1">
      <c r="A155" s="91"/>
    </row>
    <row r="156" spans="1:1">
      <c r="A156" s="91"/>
    </row>
    <row r="157" spans="1:1">
      <c r="A157" s="91"/>
    </row>
    <row r="158" spans="1:1">
      <c r="A158" s="91"/>
    </row>
    <row r="159" spans="1:1">
      <c r="A159" s="91"/>
    </row>
    <row r="160" spans="1:1">
      <c r="A160" s="91"/>
    </row>
    <row r="161" spans="1:1">
      <c r="A161" s="91"/>
    </row>
    <row r="162" spans="1:1">
      <c r="A162" s="91"/>
    </row>
    <row r="163" spans="1:1">
      <c r="A163" s="91"/>
    </row>
    <row r="164" spans="1:1">
      <c r="A164" s="91"/>
    </row>
    <row r="165" spans="1:1">
      <c r="A165" s="91"/>
    </row>
    <row r="166" spans="1:1">
      <c r="A166" s="91"/>
    </row>
    <row r="167" spans="1:1">
      <c r="A167" s="91"/>
    </row>
    <row r="168" spans="1:1">
      <c r="A168" s="91"/>
    </row>
    <row r="169" spans="1:1">
      <c r="A169" s="91"/>
    </row>
    <row r="170" spans="1:1">
      <c r="A170" s="91"/>
    </row>
    <row r="171" spans="1:1">
      <c r="A171" s="91"/>
    </row>
    <row r="172" spans="1:1">
      <c r="A172" s="91"/>
    </row>
    <row r="173" spans="1:1">
      <c r="A173" s="91"/>
    </row>
    <row r="174" spans="1:1">
      <c r="A174" s="91"/>
    </row>
    <row r="175" spans="1:1">
      <c r="A175" s="91"/>
    </row>
    <row r="176" spans="1:1">
      <c r="A176" s="91"/>
    </row>
    <row r="177" spans="1:1">
      <c r="A177" s="91"/>
    </row>
    <row r="178" spans="1:1">
      <c r="A178" s="91"/>
    </row>
    <row r="179" spans="1:1">
      <c r="A179" s="91"/>
    </row>
    <row r="180" spans="1:1">
      <c r="A180" s="91"/>
    </row>
    <row r="181" spans="1:1">
      <c r="A181" s="91"/>
    </row>
    <row r="182" spans="1:1">
      <c r="A182" s="91"/>
    </row>
    <row r="183" spans="1:1">
      <c r="A183" s="91"/>
    </row>
    <row r="184" spans="1:1">
      <c r="A184" s="91"/>
    </row>
    <row r="185" spans="1:1">
      <c r="A185" s="91"/>
    </row>
    <row r="186" spans="1:1">
      <c r="A186" s="91"/>
    </row>
    <row r="187" spans="1:1">
      <c r="A187" s="91"/>
    </row>
    <row r="188" spans="1:1">
      <c r="A188" s="91"/>
    </row>
    <row r="189" spans="1:1">
      <c r="A189" s="91"/>
    </row>
    <row r="190" spans="1:1">
      <c r="A190" s="91"/>
    </row>
    <row r="191" spans="1:1">
      <c r="A191" s="91"/>
    </row>
    <row r="192" spans="1:1">
      <c r="A192" s="91"/>
    </row>
    <row r="193" spans="1:1">
      <c r="A193" s="91"/>
    </row>
    <row r="194" spans="1:1">
      <c r="A194" s="91"/>
    </row>
    <row r="195" spans="1:1">
      <c r="A195" s="91"/>
    </row>
    <row r="196" spans="1:1">
      <c r="A196" s="91"/>
    </row>
    <row r="197" spans="1:1">
      <c r="A197" s="91"/>
    </row>
    <row r="198" spans="1:1">
      <c r="A198" s="91"/>
    </row>
    <row r="199" spans="1:1">
      <c r="A199" s="91"/>
    </row>
    <row r="200" spans="1:1">
      <c r="A200" s="91"/>
    </row>
    <row r="201" spans="1:1">
      <c r="A201" s="91"/>
    </row>
    <row r="202" spans="1:1">
      <c r="A202" s="91"/>
    </row>
    <row r="203" spans="1:1">
      <c r="A203" s="91"/>
    </row>
    <row r="204" spans="1:1">
      <c r="A204" s="91"/>
    </row>
    <row r="205" spans="1:1">
      <c r="A205" s="91"/>
    </row>
    <row r="206" spans="1:1">
      <c r="A206" s="91"/>
    </row>
    <row r="207" spans="1:1">
      <c r="A207" s="91"/>
    </row>
    <row r="208" spans="1:1">
      <c r="A208" s="91"/>
    </row>
    <row r="209" spans="1:1">
      <c r="A209" s="91"/>
    </row>
    <row r="210" spans="1:1">
      <c r="A210" s="91"/>
    </row>
    <row r="211" spans="1:1">
      <c r="A211" s="91"/>
    </row>
    <row r="212" spans="1:1">
      <c r="A212" s="91"/>
    </row>
    <row r="213" spans="1:1">
      <c r="A213" s="91"/>
    </row>
    <row r="214" spans="1:1">
      <c r="A214" s="91"/>
    </row>
    <row r="215" spans="1:1">
      <c r="A215" s="91"/>
    </row>
    <row r="216" spans="1:1">
      <c r="A216" s="91"/>
    </row>
    <row r="217" spans="1:1">
      <c r="A217" s="91"/>
    </row>
    <row r="218" spans="1:1">
      <c r="A218" s="91"/>
    </row>
    <row r="219" spans="1:1">
      <c r="A219" s="91"/>
    </row>
    <row r="220" spans="1:1">
      <c r="A220" s="91"/>
    </row>
    <row r="221" spans="1:1">
      <c r="A221" s="91"/>
    </row>
    <row r="222" spans="1:1">
      <c r="A222" s="91"/>
    </row>
    <row r="223" spans="1:1">
      <c r="A223" s="91"/>
    </row>
    <row r="224" spans="1:1">
      <c r="A224" s="91"/>
    </row>
    <row r="225" spans="1:1">
      <c r="A225" s="91"/>
    </row>
    <row r="226" spans="1:1">
      <c r="A226" s="91"/>
    </row>
    <row r="227" spans="1:1">
      <c r="A227" s="91"/>
    </row>
    <row r="228" spans="1:1">
      <c r="A228" s="91"/>
    </row>
    <row r="229" spans="1:1">
      <c r="A229" s="91"/>
    </row>
    <row r="230" spans="1:1">
      <c r="A230" s="91"/>
    </row>
    <row r="231" spans="1:1">
      <c r="A231" s="91"/>
    </row>
    <row r="232" spans="1:1">
      <c r="A232" s="91"/>
    </row>
    <row r="233" spans="1:1">
      <c r="A233" s="91"/>
    </row>
    <row r="234" spans="1:1">
      <c r="A234" s="91"/>
    </row>
    <row r="235" spans="1:1">
      <c r="A235" s="91"/>
    </row>
    <row r="236" spans="1:1">
      <c r="A236" s="91"/>
    </row>
    <row r="237" spans="1:1">
      <c r="A237" s="91"/>
    </row>
    <row r="238" spans="1:1">
      <c r="A238" s="91"/>
    </row>
    <row r="239" spans="1:1">
      <c r="A239" s="91"/>
    </row>
    <row r="240" spans="1:1">
      <c r="A240" s="91"/>
    </row>
    <row r="241" spans="1:1">
      <c r="A241" s="91"/>
    </row>
    <row r="242" spans="1:1">
      <c r="A242" s="91"/>
    </row>
    <row r="243" spans="1:1">
      <c r="A243" s="91"/>
    </row>
    <row r="244" spans="1:1">
      <c r="A244" s="91"/>
    </row>
    <row r="245" spans="1:1">
      <c r="A245" s="91"/>
    </row>
    <row r="246" spans="1:1">
      <c r="A246" s="91"/>
    </row>
    <row r="247" spans="1:1">
      <c r="A247" s="91"/>
    </row>
    <row r="248" spans="1:1">
      <c r="A248" s="91"/>
    </row>
    <row r="249" spans="1:1">
      <c r="A249" s="91"/>
    </row>
    <row r="250" spans="1:1">
      <c r="A250" s="91"/>
    </row>
  </sheetData>
  <sheetProtection password="B6E0" sheet="1" objects="1" scenarios="1"/>
  <protectedRanges>
    <protectedRange sqref="A5:A250" name="Rango2"/>
    <protectedRange sqref="D4:D22" name="Rango1"/>
  </protectedRanges>
  <conditionalFormatting sqref="C15:D22">
    <cfRule type="expression" dxfId="2" priority="1">
      <formula>$D$6="2° Half"</formula>
    </cfRule>
    <cfRule type="expression" dxfId="1" priority="2">
      <formula>$D$6="1° Half"</formula>
    </cfRule>
    <cfRule type="expression" dxfId="0" priority="3">
      <formula>$D$6="Entire"</formula>
    </cfRule>
  </conditionalFormatting>
  <dataValidations count="2">
    <dataValidation type="list" allowBlank="1" showInputMessage="1" showErrorMessage="1" sqref="D5">
      <formula1>$XFD$1:$XFD$6</formula1>
    </dataValidation>
    <dataValidation type="list" allowBlank="1" showInputMessage="1" showErrorMessage="1" sqref="D6">
      <formula1>$XFC$1:$XFC$3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3" r:id="rId4" name="CommandButton2">
          <controlPr defaultSize="0" autoLine="0" r:id="rId5">
            <anchor moveWithCells="1">
              <from>
                <xdr:col>1</xdr:col>
                <xdr:colOff>752475</xdr:colOff>
                <xdr:row>0</xdr:row>
                <xdr:rowOff>95250</xdr:rowOff>
              </from>
              <to>
                <xdr:col>4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5123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P46"/>
  <sheetViews>
    <sheetView showGridLines="0" topLeftCell="A7" zoomScale="85" zoomScaleNormal="85" workbookViewId="0">
      <selection activeCell="B1" sqref="B1:AP4"/>
    </sheetView>
  </sheetViews>
  <sheetFormatPr defaultColWidth="3.28515625" defaultRowHeight="14.25" customHeight="1"/>
  <cols>
    <col min="1" max="2" width="3.28515625" style="34"/>
    <col min="3" max="3" width="3.5703125" style="34" customWidth="1"/>
    <col min="4" max="18" width="3.28515625" style="34"/>
    <col min="19" max="20" width="3.5703125" style="34" bestFit="1" customWidth="1"/>
    <col min="21" max="22" width="3.28515625" style="34"/>
    <col min="23" max="23" width="3.85546875" style="34" customWidth="1"/>
    <col min="24" max="38" width="3.28515625" style="34"/>
    <col min="39" max="40" width="3.5703125" style="34" bestFit="1" customWidth="1"/>
    <col min="41" max="16384" width="3.28515625" style="34"/>
  </cols>
  <sheetData>
    <row r="1" spans="1:42" s="32" customFormat="1" ht="12.75">
      <c r="A1" s="31"/>
      <c r="B1" s="129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1"/>
    </row>
    <row r="2" spans="1:42" s="32" customFormat="1" ht="12.75">
      <c r="A2" s="31"/>
      <c r="B2" s="132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4"/>
    </row>
    <row r="3" spans="1:42" s="32" customFormat="1" ht="12.75">
      <c r="A3" s="31"/>
      <c r="B3" s="132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4"/>
    </row>
    <row r="4" spans="1:42" s="32" customFormat="1" ht="12.75">
      <c r="A4" s="31"/>
      <c r="B4" s="135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6"/>
      <c r="AK4" s="136"/>
      <c r="AL4" s="136"/>
      <c r="AM4" s="136"/>
      <c r="AN4" s="136"/>
      <c r="AO4" s="136"/>
      <c r="AP4" s="137"/>
    </row>
    <row r="5" spans="1:42" s="32" customFormat="1" ht="13.5" thickBot="1">
      <c r="A5" s="33"/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</row>
    <row r="6" spans="1:42" ht="14.25" customHeight="1">
      <c r="B6" s="139" t="s">
        <v>41</v>
      </c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1"/>
    </row>
    <row r="7" spans="1:42" ht="14.25" customHeight="1" thickBot="1">
      <c r="B7" s="142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4"/>
    </row>
    <row r="8" spans="1:42" ht="14.25" customHeight="1" thickBot="1"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</row>
    <row r="9" spans="1:42" ht="14.25" customHeight="1" thickBot="1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7"/>
    </row>
    <row r="10" spans="1:42" ht="14.25" customHeight="1">
      <c r="B10" s="38"/>
      <c r="C10" s="126" t="s">
        <v>42</v>
      </c>
      <c r="D10" s="127"/>
      <c r="E10" s="127"/>
      <c r="F10" s="127"/>
      <c r="G10" s="127"/>
      <c r="H10" s="128"/>
      <c r="I10" s="39"/>
      <c r="J10" s="39"/>
      <c r="K10" s="39"/>
      <c r="L10" s="39"/>
      <c r="M10" s="126" t="s">
        <v>43</v>
      </c>
      <c r="N10" s="127"/>
      <c r="O10" s="127"/>
      <c r="P10" s="127"/>
      <c r="Q10" s="127"/>
      <c r="R10" s="127"/>
      <c r="S10" s="127"/>
      <c r="T10" s="127"/>
      <c r="U10" s="128"/>
      <c r="V10" s="39"/>
      <c r="W10" s="126" t="s">
        <v>44</v>
      </c>
      <c r="X10" s="127"/>
      <c r="Y10" s="127"/>
      <c r="Z10" s="127"/>
      <c r="AA10" s="127"/>
      <c r="AB10" s="127"/>
      <c r="AC10" s="127"/>
      <c r="AD10" s="127"/>
      <c r="AE10" s="128"/>
      <c r="AF10" s="39"/>
      <c r="AG10" s="126" t="s">
        <v>45</v>
      </c>
      <c r="AH10" s="127"/>
      <c r="AI10" s="127"/>
      <c r="AJ10" s="127"/>
      <c r="AK10" s="127"/>
      <c r="AL10" s="127"/>
      <c r="AM10" s="127"/>
      <c r="AN10" s="127"/>
      <c r="AO10" s="128"/>
      <c r="AP10" s="40"/>
    </row>
    <row r="11" spans="1:42" ht="14.25" customHeight="1">
      <c r="B11" s="38"/>
      <c r="C11" s="41"/>
      <c r="D11" s="42" t="s">
        <v>46</v>
      </c>
      <c r="E11" s="43"/>
      <c r="F11" s="44"/>
      <c r="G11" s="42" t="s">
        <v>46</v>
      </c>
      <c r="H11" s="45"/>
      <c r="I11" s="46"/>
      <c r="J11" s="46"/>
      <c r="K11" s="46"/>
      <c r="L11" s="46"/>
      <c r="M11" s="99">
        <v>1</v>
      </c>
      <c r="N11" s="100">
        <v>5</v>
      </c>
      <c r="O11" s="100">
        <v>9</v>
      </c>
      <c r="P11" s="100">
        <v>13</v>
      </c>
      <c r="Q11" s="100">
        <v>17</v>
      </c>
      <c r="R11" s="100">
        <v>19</v>
      </c>
      <c r="S11" s="100">
        <v>21</v>
      </c>
      <c r="T11" s="100">
        <v>23</v>
      </c>
      <c r="U11" s="101"/>
      <c r="V11" s="46"/>
      <c r="W11" s="99">
        <v>2</v>
      </c>
      <c r="X11" s="100">
        <v>4</v>
      </c>
      <c r="Y11" s="100">
        <v>6</v>
      </c>
      <c r="Z11" s="100">
        <v>8</v>
      </c>
      <c r="AA11" s="100">
        <v>10</v>
      </c>
      <c r="AB11" s="100">
        <v>12</v>
      </c>
      <c r="AC11" s="100">
        <v>14</v>
      </c>
      <c r="AD11" s="100">
        <v>16</v>
      </c>
      <c r="AE11" s="101"/>
      <c r="AF11" s="46"/>
      <c r="AG11" s="99">
        <v>3</v>
      </c>
      <c r="AH11" s="100">
        <v>7</v>
      </c>
      <c r="AI11" s="100">
        <v>11</v>
      </c>
      <c r="AJ11" s="100">
        <v>15</v>
      </c>
      <c r="AK11" s="100">
        <v>18</v>
      </c>
      <c r="AL11" s="100">
        <v>20</v>
      </c>
      <c r="AM11" s="100">
        <v>22</v>
      </c>
      <c r="AN11" s="100">
        <v>24</v>
      </c>
      <c r="AO11" s="101"/>
      <c r="AP11" s="40"/>
    </row>
    <row r="12" spans="1:42" ht="14.25" customHeight="1">
      <c r="B12" s="38"/>
      <c r="C12" s="47"/>
      <c r="D12" s="48" t="s">
        <v>47</v>
      </c>
      <c r="E12" s="49"/>
      <c r="F12" s="50"/>
      <c r="G12" s="48" t="s">
        <v>47</v>
      </c>
      <c r="H12" s="51"/>
      <c r="I12" s="46"/>
      <c r="J12" s="46"/>
      <c r="K12" s="46"/>
      <c r="L12" s="46"/>
      <c r="M12" s="102"/>
      <c r="N12" s="103"/>
      <c r="O12" s="103"/>
      <c r="P12" s="103"/>
      <c r="Q12" s="103"/>
      <c r="R12" s="103"/>
      <c r="S12" s="103"/>
      <c r="T12" s="103"/>
      <c r="U12" s="104"/>
      <c r="V12" s="46"/>
      <c r="W12" s="102"/>
      <c r="X12" s="103"/>
      <c r="Y12" s="103"/>
      <c r="Z12" s="103"/>
      <c r="AA12" s="103"/>
      <c r="AB12" s="103"/>
      <c r="AC12" s="103"/>
      <c r="AD12" s="103"/>
      <c r="AE12" s="104"/>
      <c r="AF12" s="46"/>
      <c r="AG12" s="102"/>
      <c r="AH12" s="103"/>
      <c r="AI12" s="103"/>
      <c r="AJ12" s="103"/>
      <c r="AK12" s="103"/>
      <c r="AL12" s="103"/>
      <c r="AM12" s="103"/>
      <c r="AN12" s="103"/>
      <c r="AO12" s="104"/>
      <c r="AP12" s="40"/>
    </row>
    <row r="13" spans="1:42" ht="14.25" customHeight="1">
      <c r="B13" s="38"/>
      <c r="C13" s="47"/>
      <c r="D13" s="48">
        <v>3</v>
      </c>
      <c r="E13" s="49"/>
      <c r="F13" s="50"/>
      <c r="G13" s="48">
        <v>3</v>
      </c>
      <c r="H13" s="51"/>
      <c r="I13" s="46"/>
      <c r="J13" s="46"/>
      <c r="K13" s="46"/>
      <c r="L13" s="46"/>
      <c r="M13" s="102" t="s">
        <v>48</v>
      </c>
      <c r="N13" s="103" t="s">
        <v>48</v>
      </c>
      <c r="O13" s="103" t="s">
        <v>48</v>
      </c>
      <c r="P13" s="103" t="s">
        <v>48</v>
      </c>
      <c r="Q13" s="103" t="s">
        <v>48</v>
      </c>
      <c r="R13" s="103" t="s">
        <v>48</v>
      </c>
      <c r="S13" s="103" t="s">
        <v>48</v>
      </c>
      <c r="T13" s="103" t="s">
        <v>48</v>
      </c>
      <c r="U13" s="104"/>
      <c r="V13" s="46"/>
      <c r="W13" s="102" t="s">
        <v>48</v>
      </c>
      <c r="X13" s="103" t="s">
        <v>48</v>
      </c>
      <c r="Y13" s="103" t="s">
        <v>48</v>
      </c>
      <c r="Z13" s="103" t="s">
        <v>48</v>
      </c>
      <c r="AA13" s="103" t="s">
        <v>48</v>
      </c>
      <c r="AB13" s="103" t="s">
        <v>48</v>
      </c>
      <c r="AC13" s="103" t="s">
        <v>48</v>
      </c>
      <c r="AD13" s="103" t="s">
        <v>48</v>
      </c>
      <c r="AE13" s="104"/>
      <c r="AF13" s="46"/>
      <c r="AG13" s="102" t="s">
        <v>48</v>
      </c>
      <c r="AH13" s="103" t="s">
        <v>48</v>
      </c>
      <c r="AI13" s="103" t="s">
        <v>48</v>
      </c>
      <c r="AJ13" s="103" t="s">
        <v>48</v>
      </c>
      <c r="AK13" s="103" t="s">
        <v>48</v>
      </c>
      <c r="AL13" s="103" t="s">
        <v>48</v>
      </c>
      <c r="AM13" s="103" t="s">
        <v>48</v>
      </c>
      <c r="AN13" s="103" t="s">
        <v>48</v>
      </c>
      <c r="AO13" s="104"/>
      <c r="AP13" s="40"/>
    </row>
    <row r="14" spans="1:42" ht="14.25" customHeight="1">
      <c r="B14" s="38"/>
      <c r="C14" s="47"/>
      <c r="D14" s="48" t="s">
        <v>49</v>
      </c>
      <c r="E14" s="49"/>
      <c r="F14" s="50"/>
      <c r="G14" s="48" t="s">
        <v>49</v>
      </c>
      <c r="H14" s="51"/>
      <c r="I14" s="46"/>
      <c r="J14" s="46"/>
      <c r="K14" s="46"/>
      <c r="L14" s="46"/>
      <c r="M14" s="102">
        <v>16</v>
      </c>
      <c r="N14" s="103">
        <v>16</v>
      </c>
      <c r="O14" s="103">
        <v>16</v>
      </c>
      <c r="P14" s="103">
        <v>16</v>
      </c>
      <c r="Q14" s="103">
        <v>16</v>
      </c>
      <c r="R14" s="103">
        <v>16</v>
      </c>
      <c r="S14" s="103">
        <v>16</v>
      </c>
      <c r="T14" s="103">
        <v>16</v>
      </c>
      <c r="U14" s="104"/>
      <c r="V14" s="46"/>
      <c r="W14" s="102">
        <v>16</v>
      </c>
      <c r="X14" s="103">
        <v>16</v>
      </c>
      <c r="Y14" s="103">
        <v>16</v>
      </c>
      <c r="Z14" s="103">
        <v>16</v>
      </c>
      <c r="AA14" s="103">
        <v>16</v>
      </c>
      <c r="AB14" s="103">
        <v>16</v>
      </c>
      <c r="AC14" s="103">
        <v>16</v>
      </c>
      <c r="AD14" s="103">
        <v>16</v>
      </c>
      <c r="AE14" s="104"/>
      <c r="AF14" s="46"/>
      <c r="AG14" s="102">
        <v>16</v>
      </c>
      <c r="AH14" s="103">
        <v>16</v>
      </c>
      <c r="AI14" s="103">
        <v>16</v>
      </c>
      <c r="AJ14" s="103">
        <v>16</v>
      </c>
      <c r="AK14" s="103">
        <v>16</v>
      </c>
      <c r="AL14" s="103">
        <v>16</v>
      </c>
      <c r="AM14" s="103">
        <v>16</v>
      </c>
      <c r="AN14" s="103">
        <v>16</v>
      </c>
      <c r="AO14" s="104"/>
      <c r="AP14" s="40"/>
    </row>
    <row r="15" spans="1:42" ht="14.25" customHeight="1" thickBot="1">
      <c r="B15" s="38"/>
      <c r="C15" s="52"/>
      <c r="D15" s="53" t="s">
        <v>50</v>
      </c>
      <c r="E15" s="54"/>
      <c r="F15" s="55"/>
      <c r="G15" s="53" t="s">
        <v>50</v>
      </c>
      <c r="H15" s="56"/>
      <c r="I15" s="46"/>
      <c r="J15" s="46"/>
      <c r="K15" s="46"/>
      <c r="L15" s="46"/>
      <c r="M15" s="105"/>
      <c r="N15" s="106"/>
      <c r="O15" s="106"/>
      <c r="P15" s="106"/>
      <c r="Q15" s="106"/>
      <c r="R15" s="106"/>
      <c r="S15" s="106"/>
      <c r="T15" s="106"/>
      <c r="U15" s="107"/>
      <c r="V15" s="46"/>
      <c r="W15" s="105"/>
      <c r="X15" s="106"/>
      <c r="Y15" s="106"/>
      <c r="Z15" s="106"/>
      <c r="AA15" s="106"/>
      <c r="AB15" s="106"/>
      <c r="AC15" s="106"/>
      <c r="AD15" s="106"/>
      <c r="AE15" s="107"/>
      <c r="AF15" s="46"/>
      <c r="AG15" s="105"/>
      <c r="AH15" s="106"/>
      <c r="AI15" s="106"/>
      <c r="AJ15" s="106"/>
      <c r="AK15" s="106"/>
      <c r="AL15" s="106"/>
      <c r="AM15" s="106"/>
      <c r="AN15" s="106"/>
      <c r="AO15" s="107"/>
      <c r="AP15" s="40"/>
    </row>
    <row r="16" spans="1:42" ht="14.25" customHeight="1" thickBot="1">
      <c r="B16" s="38"/>
      <c r="C16" s="57"/>
      <c r="D16" s="46"/>
      <c r="E16" s="46"/>
      <c r="F16" s="46"/>
      <c r="G16" s="46"/>
      <c r="H16" s="46"/>
      <c r="I16" s="58"/>
      <c r="J16" s="58"/>
      <c r="K16" s="58"/>
      <c r="L16" s="58"/>
      <c r="M16" s="59">
        <v>1</v>
      </c>
      <c r="N16" s="59">
        <v>2</v>
      </c>
      <c r="O16" s="59">
        <v>3</v>
      </c>
      <c r="P16" s="59">
        <v>4</v>
      </c>
      <c r="Q16" s="59">
        <v>5</v>
      </c>
      <c r="R16" s="59">
        <v>6</v>
      </c>
      <c r="S16" s="59">
        <v>7</v>
      </c>
      <c r="T16" s="59">
        <v>8</v>
      </c>
      <c r="U16" s="60"/>
      <c r="V16" s="46"/>
      <c r="W16" s="61">
        <v>1</v>
      </c>
      <c r="X16" s="59">
        <v>2</v>
      </c>
      <c r="Y16" s="59">
        <v>3</v>
      </c>
      <c r="Z16" s="59">
        <v>4</v>
      </c>
      <c r="AA16" s="59">
        <v>5</v>
      </c>
      <c r="AB16" s="59">
        <v>6</v>
      </c>
      <c r="AC16" s="59">
        <v>7</v>
      </c>
      <c r="AD16" s="59">
        <v>8</v>
      </c>
      <c r="AE16" s="46"/>
      <c r="AF16" s="58"/>
      <c r="AG16" s="59">
        <v>1</v>
      </c>
      <c r="AH16" s="59">
        <v>2</v>
      </c>
      <c r="AI16" s="59">
        <v>3</v>
      </c>
      <c r="AJ16" s="59">
        <v>4</v>
      </c>
      <c r="AK16" s="59">
        <v>5</v>
      </c>
      <c r="AL16" s="59">
        <v>6</v>
      </c>
      <c r="AM16" s="59">
        <v>7</v>
      </c>
      <c r="AN16" s="59">
        <v>8</v>
      </c>
      <c r="AO16" s="60"/>
      <c r="AP16" s="40"/>
    </row>
    <row r="17" spans="2:42" ht="14.25" customHeight="1">
      <c r="B17" s="38"/>
      <c r="C17" s="126" t="s">
        <v>51</v>
      </c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8"/>
      <c r="V17" s="46"/>
      <c r="W17" s="126" t="s">
        <v>52</v>
      </c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27"/>
      <c r="AO17" s="128"/>
      <c r="AP17" s="40"/>
    </row>
    <row r="18" spans="2:42" ht="14.25" customHeight="1">
      <c r="B18" s="38"/>
      <c r="C18" s="99">
        <v>1</v>
      </c>
      <c r="D18" s="100">
        <v>1</v>
      </c>
      <c r="E18" s="100">
        <v>1</v>
      </c>
      <c r="F18" s="100">
        <v>1</v>
      </c>
      <c r="G18" s="100">
        <v>2</v>
      </c>
      <c r="H18" s="100">
        <v>2</v>
      </c>
      <c r="I18" s="100">
        <v>2</v>
      </c>
      <c r="J18" s="100">
        <v>2</v>
      </c>
      <c r="K18" s="100">
        <v>3</v>
      </c>
      <c r="L18" s="100">
        <v>3</v>
      </c>
      <c r="M18" s="100">
        <v>3</v>
      </c>
      <c r="N18" s="100">
        <v>3</v>
      </c>
      <c r="O18" s="100">
        <v>4</v>
      </c>
      <c r="P18" s="100">
        <v>4</v>
      </c>
      <c r="Q18" s="100">
        <v>4</v>
      </c>
      <c r="R18" s="100">
        <v>4</v>
      </c>
      <c r="S18" s="100">
        <v>25</v>
      </c>
      <c r="T18" s="100">
        <v>31</v>
      </c>
      <c r="U18" s="101"/>
      <c r="V18" s="46"/>
      <c r="W18" s="99">
        <v>5</v>
      </c>
      <c r="X18" s="100">
        <v>5</v>
      </c>
      <c r="Y18" s="100">
        <v>5</v>
      </c>
      <c r="Z18" s="100">
        <v>5</v>
      </c>
      <c r="AA18" s="100">
        <v>6</v>
      </c>
      <c r="AB18" s="100">
        <v>6</v>
      </c>
      <c r="AC18" s="100">
        <v>6</v>
      </c>
      <c r="AD18" s="100">
        <v>6</v>
      </c>
      <c r="AE18" s="100">
        <v>7</v>
      </c>
      <c r="AF18" s="100">
        <v>7</v>
      </c>
      <c r="AG18" s="100">
        <v>7</v>
      </c>
      <c r="AH18" s="100">
        <v>7</v>
      </c>
      <c r="AI18" s="100">
        <v>8</v>
      </c>
      <c r="AJ18" s="100">
        <v>8</v>
      </c>
      <c r="AK18" s="100">
        <v>8</v>
      </c>
      <c r="AL18" s="100">
        <v>8</v>
      </c>
      <c r="AM18" s="100">
        <v>26</v>
      </c>
      <c r="AN18" s="100">
        <v>32</v>
      </c>
      <c r="AO18" s="101"/>
      <c r="AP18" s="40"/>
    </row>
    <row r="19" spans="2:42" ht="14.25" customHeight="1">
      <c r="B19" s="38"/>
      <c r="C19" s="102" t="s">
        <v>53</v>
      </c>
      <c r="D19" s="109" t="s">
        <v>54</v>
      </c>
      <c r="E19" s="103"/>
      <c r="F19" s="103"/>
      <c r="G19" s="103" t="s">
        <v>55</v>
      </c>
      <c r="H19" s="103"/>
      <c r="I19" s="103"/>
      <c r="J19" s="103"/>
      <c r="K19" s="103" t="s">
        <v>53</v>
      </c>
      <c r="L19" s="103"/>
      <c r="M19" s="103"/>
      <c r="N19" s="103"/>
      <c r="O19" s="103" t="s">
        <v>55</v>
      </c>
      <c r="P19" s="103"/>
      <c r="Q19" s="103"/>
      <c r="R19" s="103"/>
      <c r="S19" s="103"/>
      <c r="T19" s="103"/>
      <c r="U19" s="104"/>
      <c r="V19" s="46"/>
      <c r="W19" s="102" t="s">
        <v>53</v>
      </c>
      <c r="X19" s="103"/>
      <c r="Y19" s="103"/>
      <c r="Z19" s="103"/>
      <c r="AA19" s="103" t="s">
        <v>55</v>
      </c>
      <c r="AB19" s="103"/>
      <c r="AC19" s="103"/>
      <c r="AD19" s="103"/>
      <c r="AE19" s="103" t="s">
        <v>53</v>
      </c>
      <c r="AF19" s="103"/>
      <c r="AG19" s="103"/>
      <c r="AH19" s="103"/>
      <c r="AI19" s="103" t="s">
        <v>55</v>
      </c>
      <c r="AJ19" s="103"/>
      <c r="AK19" s="103"/>
      <c r="AL19" s="103"/>
      <c r="AM19" s="103"/>
      <c r="AN19" s="103"/>
      <c r="AO19" s="104"/>
      <c r="AP19" s="40"/>
    </row>
    <row r="20" spans="2:42" ht="14.25" customHeight="1">
      <c r="B20" s="38"/>
      <c r="C20" s="102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4"/>
      <c r="V20" s="46"/>
      <c r="W20" s="102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4"/>
      <c r="AP20" s="40"/>
    </row>
    <row r="21" spans="2:42" ht="14.25" customHeight="1">
      <c r="B21" s="38"/>
      <c r="C21" s="102" t="s">
        <v>56</v>
      </c>
      <c r="D21" s="103" t="s">
        <v>56</v>
      </c>
      <c r="E21" s="103" t="s">
        <v>56</v>
      </c>
      <c r="F21" s="103" t="s">
        <v>56</v>
      </c>
      <c r="G21" s="103" t="s">
        <v>56</v>
      </c>
      <c r="H21" s="103" t="s">
        <v>56</v>
      </c>
      <c r="I21" s="103" t="s">
        <v>56</v>
      </c>
      <c r="J21" s="103" t="s">
        <v>56</v>
      </c>
      <c r="K21" s="103" t="s">
        <v>56</v>
      </c>
      <c r="L21" s="103" t="s">
        <v>56</v>
      </c>
      <c r="M21" s="103" t="s">
        <v>56</v>
      </c>
      <c r="N21" s="103" t="s">
        <v>56</v>
      </c>
      <c r="O21" s="103" t="s">
        <v>56</v>
      </c>
      <c r="P21" s="103" t="s">
        <v>56</v>
      </c>
      <c r="Q21" s="103" t="s">
        <v>56</v>
      </c>
      <c r="R21" s="103" t="s">
        <v>56</v>
      </c>
      <c r="S21" s="103" t="s">
        <v>48</v>
      </c>
      <c r="T21" s="103" t="s">
        <v>48</v>
      </c>
      <c r="U21" s="104"/>
      <c r="V21" s="46"/>
      <c r="W21" s="102" t="s">
        <v>56</v>
      </c>
      <c r="X21" s="103" t="s">
        <v>56</v>
      </c>
      <c r="Y21" s="103" t="s">
        <v>56</v>
      </c>
      <c r="Z21" s="103" t="s">
        <v>56</v>
      </c>
      <c r="AA21" s="103" t="s">
        <v>56</v>
      </c>
      <c r="AB21" s="103" t="s">
        <v>56</v>
      </c>
      <c r="AC21" s="103" t="s">
        <v>56</v>
      </c>
      <c r="AD21" s="103" t="s">
        <v>56</v>
      </c>
      <c r="AE21" s="103" t="s">
        <v>56</v>
      </c>
      <c r="AF21" s="103" t="s">
        <v>56</v>
      </c>
      <c r="AG21" s="103" t="s">
        <v>56</v>
      </c>
      <c r="AH21" s="103" t="s">
        <v>56</v>
      </c>
      <c r="AI21" s="103" t="s">
        <v>56</v>
      </c>
      <c r="AJ21" s="103" t="s">
        <v>56</v>
      </c>
      <c r="AK21" s="103" t="s">
        <v>56</v>
      </c>
      <c r="AL21" s="103" t="s">
        <v>56</v>
      </c>
      <c r="AM21" s="103" t="s">
        <v>48</v>
      </c>
      <c r="AN21" s="103" t="s">
        <v>48</v>
      </c>
      <c r="AO21" s="104"/>
      <c r="AP21" s="40"/>
    </row>
    <row r="22" spans="2:42" ht="14.25" customHeight="1" thickBot="1">
      <c r="B22" s="38"/>
      <c r="C22" s="105" t="s">
        <v>57</v>
      </c>
      <c r="D22" s="106" t="s">
        <v>57</v>
      </c>
      <c r="E22" s="106" t="s">
        <v>57</v>
      </c>
      <c r="F22" s="106" t="s">
        <v>57</v>
      </c>
      <c r="G22" s="106" t="s">
        <v>57</v>
      </c>
      <c r="H22" s="106" t="s">
        <v>57</v>
      </c>
      <c r="I22" s="106" t="s">
        <v>57</v>
      </c>
      <c r="J22" s="106" t="s">
        <v>57</v>
      </c>
      <c r="K22" s="106" t="s">
        <v>57</v>
      </c>
      <c r="L22" s="106" t="s">
        <v>57</v>
      </c>
      <c r="M22" s="106" t="s">
        <v>57</v>
      </c>
      <c r="N22" s="106" t="s">
        <v>57</v>
      </c>
      <c r="O22" s="106" t="s">
        <v>57</v>
      </c>
      <c r="P22" s="106" t="s">
        <v>57</v>
      </c>
      <c r="Q22" s="106" t="s">
        <v>57</v>
      </c>
      <c r="R22" s="106" t="s">
        <v>57</v>
      </c>
      <c r="S22" s="106">
        <v>16</v>
      </c>
      <c r="T22" s="106">
        <v>16</v>
      </c>
      <c r="U22" s="107"/>
      <c r="V22" s="46"/>
      <c r="W22" s="105" t="s">
        <v>57</v>
      </c>
      <c r="X22" s="106" t="s">
        <v>57</v>
      </c>
      <c r="Y22" s="106" t="s">
        <v>57</v>
      </c>
      <c r="Z22" s="106" t="s">
        <v>57</v>
      </c>
      <c r="AA22" s="106" t="s">
        <v>57</v>
      </c>
      <c r="AB22" s="106" t="s">
        <v>57</v>
      </c>
      <c r="AC22" s="106" t="s">
        <v>57</v>
      </c>
      <c r="AD22" s="106" t="s">
        <v>57</v>
      </c>
      <c r="AE22" s="106" t="s">
        <v>57</v>
      </c>
      <c r="AF22" s="106" t="s">
        <v>57</v>
      </c>
      <c r="AG22" s="106" t="s">
        <v>57</v>
      </c>
      <c r="AH22" s="106" t="s">
        <v>57</v>
      </c>
      <c r="AI22" s="106" t="s">
        <v>57</v>
      </c>
      <c r="AJ22" s="106" t="s">
        <v>57</v>
      </c>
      <c r="AK22" s="106" t="s">
        <v>57</v>
      </c>
      <c r="AL22" s="106" t="s">
        <v>57</v>
      </c>
      <c r="AM22" s="106">
        <v>16</v>
      </c>
      <c r="AN22" s="106">
        <v>16</v>
      </c>
      <c r="AO22" s="107"/>
      <c r="AP22" s="40"/>
    </row>
    <row r="23" spans="2:42" ht="14.25" customHeight="1" thickBot="1">
      <c r="B23" s="38"/>
      <c r="C23" s="59">
        <v>1</v>
      </c>
      <c r="D23" s="59">
        <f t="shared" ref="D23:R23" si="0">C23+1</f>
        <v>2</v>
      </c>
      <c r="E23" s="59">
        <f t="shared" si="0"/>
        <v>3</v>
      </c>
      <c r="F23" s="59">
        <f t="shared" si="0"/>
        <v>4</v>
      </c>
      <c r="G23" s="59">
        <f t="shared" si="0"/>
        <v>5</v>
      </c>
      <c r="H23" s="59">
        <f t="shared" si="0"/>
        <v>6</v>
      </c>
      <c r="I23" s="59">
        <f t="shared" si="0"/>
        <v>7</v>
      </c>
      <c r="J23" s="59">
        <f t="shared" si="0"/>
        <v>8</v>
      </c>
      <c r="K23" s="59">
        <f t="shared" si="0"/>
        <v>9</v>
      </c>
      <c r="L23" s="59">
        <f t="shared" si="0"/>
        <v>10</v>
      </c>
      <c r="M23" s="59">
        <f t="shared" si="0"/>
        <v>11</v>
      </c>
      <c r="N23" s="59">
        <f t="shared" si="0"/>
        <v>12</v>
      </c>
      <c r="O23" s="59">
        <f t="shared" si="0"/>
        <v>13</v>
      </c>
      <c r="P23" s="59">
        <f t="shared" si="0"/>
        <v>14</v>
      </c>
      <c r="Q23" s="59">
        <f t="shared" si="0"/>
        <v>15</v>
      </c>
      <c r="R23" s="59">
        <f t="shared" si="0"/>
        <v>16</v>
      </c>
      <c r="S23" s="59">
        <v>17</v>
      </c>
      <c r="T23" s="59">
        <v>18</v>
      </c>
      <c r="U23" s="46"/>
      <c r="V23" s="46"/>
      <c r="W23" s="59">
        <v>1</v>
      </c>
      <c r="X23" s="59">
        <f t="shared" ref="X23:AL23" si="1">W23+1</f>
        <v>2</v>
      </c>
      <c r="Y23" s="59">
        <f t="shared" si="1"/>
        <v>3</v>
      </c>
      <c r="Z23" s="59">
        <f t="shared" si="1"/>
        <v>4</v>
      </c>
      <c r="AA23" s="59">
        <f t="shared" si="1"/>
        <v>5</v>
      </c>
      <c r="AB23" s="59">
        <f t="shared" si="1"/>
        <v>6</v>
      </c>
      <c r="AC23" s="59">
        <f t="shared" si="1"/>
        <v>7</v>
      </c>
      <c r="AD23" s="59">
        <f t="shared" si="1"/>
        <v>8</v>
      </c>
      <c r="AE23" s="59">
        <f t="shared" si="1"/>
        <v>9</v>
      </c>
      <c r="AF23" s="59">
        <f t="shared" si="1"/>
        <v>10</v>
      </c>
      <c r="AG23" s="59">
        <f t="shared" si="1"/>
        <v>11</v>
      </c>
      <c r="AH23" s="59">
        <f t="shared" si="1"/>
        <v>12</v>
      </c>
      <c r="AI23" s="59">
        <f t="shared" si="1"/>
        <v>13</v>
      </c>
      <c r="AJ23" s="59">
        <f t="shared" si="1"/>
        <v>14</v>
      </c>
      <c r="AK23" s="59">
        <f t="shared" si="1"/>
        <v>15</v>
      </c>
      <c r="AL23" s="59">
        <f t="shared" si="1"/>
        <v>16</v>
      </c>
      <c r="AM23" s="59">
        <v>17</v>
      </c>
      <c r="AN23" s="59">
        <v>18</v>
      </c>
      <c r="AO23" s="46"/>
      <c r="AP23" s="40"/>
    </row>
    <row r="24" spans="2:42" ht="14.25" customHeight="1">
      <c r="B24" s="38"/>
      <c r="C24" s="62" t="s">
        <v>55</v>
      </c>
      <c r="D24" s="63"/>
      <c r="E24" s="64"/>
      <c r="F24" s="63" t="s">
        <v>58</v>
      </c>
      <c r="G24" s="65"/>
      <c r="H24" s="64"/>
      <c r="I24" s="64"/>
      <c r="J24" s="64"/>
      <c r="K24" s="64"/>
      <c r="L24" s="65" t="s">
        <v>59</v>
      </c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6"/>
      <c r="AP24" s="40"/>
    </row>
    <row r="25" spans="2:42" ht="14.25" customHeight="1">
      <c r="B25" s="38"/>
      <c r="C25" s="67" t="s">
        <v>53</v>
      </c>
      <c r="D25" s="68"/>
      <c r="E25" s="69"/>
      <c r="F25" s="68" t="s">
        <v>60</v>
      </c>
      <c r="G25" s="69"/>
      <c r="H25" s="69"/>
      <c r="I25" s="69"/>
      <c r="J25" s="70"/>
      <c r="K25" s="69"/>
      <c r="L25" s="70" t="s">
        <v>61</v>
      </c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71"/>
      <c r="AP25" s="40"/>
    </row>
    <row r="26" spans="2:42" ht="14.25" customHeight="1" thickBot="1">
      <c r="B26" s="38"/>
      <c r="C26" s="72" t="s">
        <v>54</v>
      </c>
      <c r="D26" s="73"/>
      <c r="E26" s="74"/>
      <c r="F26" s="74" t="s">
        <v>62</v>
      </c>
      <c r="G26" s="73"/>
      <c r="H26" s="73"/>
      <c r="I26" s="73"/>
      <c r="J26" s="73"/>
      <c r="K26" s="73"/>
      <c r="L26" s="75" t="s">
        <v>63</v>
      </c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6"/>
      <c r="AP26" s="40"/>
    </row>
    <row r="27" spans="2:42" ht="14.25" customHeight="1" thickBot="1">
      <c r="B27" s="38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0"/>
    </row>
    <row r="28" spans="2:42" ht="14.25" customHeight="1">
      <c r="B28" s="38"/>
      <c r="C28" s="126" t="s">
        <v>64</v>
      </c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8"/>
      <c r="V28" s="46"/>
      <c r="W28" s="126" t="s">
        <v>65</v>
      </c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8"/>
      <c r="AP28" s="40"/>
    </row>
    <row r="29" spans="2:42" ht="14.25" customHeight="1">
      <c r="B29" s="38"/>
      <c r="C29" s="99">
        <v>9</v>
      </c>
      <c r="D29" s="100">
        <v>9</v>
      </c>
      <c r="E29" s="100">
        <v>9</v>
      </c>
      <c r="F29" s="100">
        <v>9</v>
      </c>
      <c r="G29" s="100">
        <v>10</v>
      </c>
      <c r="H29" s="100">
        <v>10</v>
      </c>
      <c r="I29" s="100">
        <v>10</v>
      </c>
      <c r="J29" s="100">
        <v>10</v>
      </c>
      <c r="K29" s="100">
        <v>11</v>
      </c>
      <c r="L29" s="100">
        <v>11</v>
      </c>
      <c r="M29" s="100">
        <v>11</v>
      </c>
      <c r="N29" s="100">
        <v>11</v>
      </c>
      <c r="O29" s="100">
        <v>12</v>
      </c>
      <c r="P29" s="100">
        <v>12</v>
      </c>
      <c r="Q29" s="100">
        <v>12</v>
      </c>
      <c r="R29" s="100">
        <v>12</v>
      </c>
      <c r="S29" s="100">
        <v>27</v>
      </c>
      <c r="T29" s="100">
        <v>33</v>
      </c>
      <c r="U29" s="101"/>
      <c r="V29" s="46"/>
      <c r="W29" s="99">
        <v>13</v>
      </c>
      <c r="X29" s="100">
        <v>13</v>
      </c>
      <c r="Y29" s="100">
        <v>13</v>
      </c>
      <c r="Z29" s="100">
        <v>13</v>
      </c>
      <c r="AA29" s="100">
        <v>14</v>
      </c>
      <c r="AB29" s="100">
        <v>14</v>
      </c>
      <c r="AC29" s="100">
        <v>14</v>
      </c>
      <c r="AD29" s="100">
        <v>14</v>
      </c>
      <c r="AE29" s="100">
        <v>15</v>
      </c>
      <c r="AF29" s="100">
        <v>15</v>
      </c>
      <c r="AG29" s="100">
        <v>15</v>
      </c>
      <c r="AH29" s="100">
        <v>15</v>
      </c>
      <c r="AI29" s="100">
        <v>16</v>
      </c>
      <c r="AJ29" s="100">
        <v>16</v>
      </c>
      <c r="AK29" s="100">
        <v>16</v>
      </c>
      <c r="AL29" s="100">
        <v>16</v>
      </c>
      <c r="AM29" s="100">
        <v>28</v>
      </c>
      <c r="AN29" s="100">
        <v>34</v>
      </c>
      <c r="AO29" s="101"/>
      <c r="AP29" s="40"/>
    </row>
    <row r="30" spans="2:42" ht="14.25" customHeight="1">
      <c r="B30" s="38"/>
      <c r="C30" s="102" t="s">
        <v>53</v>
      </c>
      <c r="D30" s="103"/>
      <c r="E30" s="103"/>
      <c r="F30" s="103"/>
      <c r="G30" s="103" t="s">
        <v>55</v>
      </c>
      <c r="H30" s="103"/>
      <c r="I30" s="103"/>
      <c r="J30" s="103"/>
      <c r="K30" s="103" t="s">
        <v>53</v>
      </c>
      <c r="L30" s="103"/>
      <c r="M30" s="103"/>
      <c r="N30" s="103"/>
      <c r="O30" s="103" t="s">
        <v>55</v>
      </c>
      <c r="P30" s="103"/>
      <c r="Q30" s="103"/>
      <c r="R30" s="103"/>
      <c r="S30" s="103"/>
      <c r="T30" s="103"/>
      <c r="U30" s="104"/>
      <c r="V30" s="46"/>
      <c r="W30" s="102" t="s">
        <v>53</v>
      </c>
      <c r="X30" s="103"/>
      <c r="Y30" s="103"/>
      <c r="Z30" s="103"/>
      <c r="AA30" s="103" t="s">
        <v>55</v>
      </c>
      <c r="AB30" s="103"/>
      <c r="AC30" s="103"/>
      <c r="AD30" s="103"/>
      <c r="AE30" s="103" t="s">
        <v>53</v>
      </c>
      <c r="AF30" s="103"/>
      <c r="AG30" s="103"/>
      <c r="AH30" s="103"/>
      <c r="AI30" s="103" t="s">
        <v>55</v>
      </c>
      <c r="AJ30" s="103"/>
      <c r="AK30" s="103"/>
      <c r="AL30" s="103"/>
      <c r="AM30" s="103"/>
      <c r="AN30" s="103"/>
      <c r="AO30" s="104"/>
      <c r="AP30" s="40"/>
    </row>
    <row r="31" spans="2:42" ht="14.25" customHeight="1">
      <c r="B31" s="38"/>
      <c r="C31" s="102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4"/>
      <c r="V31" s="46"/>
      <c r="W31" s="102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4"/>
      <c r="AP31" s="40"/>
    </row>
    <row r="32" spans="2:42" ht="14.25" customHeight="1">
      <c r="B32" s="38"/>
      <c r="C32" s="102" t="s">
        <v>56</v>
      </c>
      <c r="D32" s="103" t="s">
        <v>56</v>
      </c>
      <c r="E32" s="103" t="s">
        <v>56</v>
      </c>
      <c r="F32" s="103" t="s">
        <v>56</v>
      </c>
      <c r="G32" s="103" t="s">
        <v>56</v>
      </c>
      <c r="H32" s="103" t="s">
        <v>56</v>
      </c>
      <c r="I32" s="103" t="s">
        <v>56</v>
      </c>
      <c r="J32" s="103" t="s">
        <v>56</v>
      </c>
      <c r="K32" s="103" t="s">
        <v>56</v>
      </c>
      <c r="L32" s="103" t="s">
        <v>56</v>
      </c>
      <c r="M32" s="103" t="s">
        <v>56</v>
      </c>
      <c r="N32" s="103" t="s">
        <v>56</v>
      </c>
      <c r="O32" s="103" t="s">
        <v>56</v>
      </c>
      <c r="P32" s="103" t="s">
        <v>56</v>
      </c>
      <c r="Q32" s="103" t="s">
        <v>56</v>
      </c>
      <c r="R32" s="103" t="s">
        <v>56</v>
      </c>
      <c r="S32" s="103" t="s">
        <v>48</v>
      </c>
      <c r="T32" s="103" t="s">
        <v>48</v>
      </c>
      <c r="U32" s="104"/>
      <c r="V32" s="46"/>
      <c r="W32" s="102" t="s">
        <v>56</v>
      </c>
      <c r="X32" s="103" t="s">
        <v>56</v>
      </c>
      <c r="Y32" s="103" t="s">
        <v>56</v>
      </c>
      <c r="Z32" s="103" t="s">
        <v>56</v>
      </c>
      <c r="AA32" s="103" t="s">
        <v>56</v>
      </c>
      <c r="AB32" s="103" t="s">
        <v>56</v>
      </c>
      <c r="AC32" s="103" t="s">
        <v>56</v>
      </c>
      <c r="AD32" s="103" t="s">
        <v>56</v>
      </c>
      <c r="AE32" s="103" t="s">
        <v>56</v>
      </c>
      <c r="AF32" s="103" t="s">
        <v>56</v>
      </c>
      <c r="AG32" s="103" t="s">
        <v>56</v>
      </c>
      <c r="AH32" s="103" t="s">
        <v>56</v>
      </c>
      <c r="AI32" s="103" t="s">
        <v>56</v>
      </c>
      <c r="AJ32" s="103" t="s">
        <v>56</v>
      </c>
      <c r="AK32" s="103" t="s">
        <v>56</v>
      </c>
      <c r="AL32" s="103" t="s">
        <v>56</v>
      </c>
      <c r="AM32" s="103" t="s">
        <v>48</v>
      </c>
      <c r="AN32" s="103" t="s">
        <v>48</v>
      </c>
      <c r="AO32" s="104"/>
      <c r="AP32" s="40"/>
    </row>
    <row r="33" spans="2:42" ht="14.25" customHeight="1" thickBot="1">
      <c r="B33" s="38"/>
      <c r="C33" s="105" t="s">
        <v>57</v>
      </c>
      <c r="D33" s="106" t="s">
        <v>57</v>
      </c>
      <c r="E33" s="106" t="s">
        <v>57</v>
      </c>
      <c r="F33" s="106" t="s">
        <v>57</v>
      </c>
      <c r="G33" s="106" t="s">
        <v>57</v>
      </c>
      <c r="H33" s="106" t="s">
        <v>57</v>
      </c>
      <c r="I33" s="106" t="s">
        <v>57</v>
      </c>
      <c r="J33" s="106" t="s">
        <v>57</v>
      </c>
      <c r="K33" s="106" t="s">
        <v>57</v>
      </c>
      <c r="L33" s="106" t="s">
        <v>57</v>
      </c>
      <c r="M33" s="106" t="s">
        <v>57</v>
      </c>
      <c r="N33" s="106" t="s">
        <v>57</v>
      </c>
      <c r="O33" s="106" t="s">
        <v>57</v>
      </c>
      <c r="P33" s="106" t="s">
        <v>57</v>
      </c>
      <c r="Q33" s="106" t="s">
        <v>57</v>
      </c>
      <c r="R33" s="106" t="s">
        <v>57</v>
      </c>
      <c r="S33" s="106">
        <v>16</v>
      </c>
      <c r="T33" s="106">
        <v>16</v>
      </c>
      <c r="U33" s="107"/>
      <c r="V33" s="46"/>
      <c r="W33" s="105" t="s">
        <v>57</v>
      </c>
      <c r="X33" s="106" t="s">
        <v>57</v>
      </c>
      <c r="Y33" s="106" t="s">
        <v>57</v>
      </c>
      <c r="Z33" s="106" t="s">
        <v>57</v>
      </c>
      <c r="AA33" s="106" t="s">
        <v>57</v>
      </c>
      <c r="AB33" s="106" t="s">
        <v>57</v>
      </c>
      <c r="AC33" s="106" t="s">
        <v>57</v>
      </c>
      <c r="AD33" s="106" t="s">
        <v>57</v>
      </c>
      <c r="AE33" s="106" t="s">
        <v>57</v>
      </c>
      <c r="AF33" s="106" t="s">
        <v>57</v>
      </c>
      <c r="AG33" s="106" t="s">
        <v>57</v>
      </c>
      <c r="AH33" s="106" t="s">
        <v>57</v>
      </c>
      <c r="AI33" s="106" t="s">
        <v>57</v>
      </c>
      <c r="AJ33" s="106" t="s">
        <v>57</v>
      </c>
      <c r="AK33" s="106" t="s">
        <v>57</v>
      </c>
      <c r="AL33" s="106" t="s">
        <v>57</v>
      </c>
      <c r="AM33" s="106">
        <v>16</v>
      </c>
      <c r="AN33" s="106">
        <v>16</v>
      </c>
      <c r="AO33" s="107"/>
      <c r="AP33" s="40"/>
    </row>
    <row r="34" spans="2:42" ht="14.25" customHeight="1" thickBot="1">
      <c r="B34" s="38"/>
      <c r="C34" s="59">
        <v>1</v>
      </c>
      <c r="D34" s="59">
        <f t="shared" ref="D34:R34" si="2">C34+1</f>
        <v>2</v>
      </c>
      <c r="E34" s="59">
        <f t="shared" si="2"/>
        <v>3</v>
      </c>
      <c r="F34" s="59">
        <f t="shared" si="2"/>
        <v>4</v>
      </c>
      <c r="G34" s="59">
        <f t="shared" si="2"/>
        <v>5</v>
      </c>
      <c r="H34" s="59">
        <f t="shared" si="2"/>
        <v>6</v>
      </c>
      <c r="I34" s="59">
        <f t="shared" si="2"/>
        <v>7</v>
      </c>
      <c r="J34" s="59">
        <f t="shared" si="2"/>
        <v>8</v>
      </c>
      <c r="K34" s="59">
        <f t="shared" si="2"/>
        <v>9</v>
      </c>
      <c r="L34" s="59">
        <f t="shared" si="2"/>
        <v>10</v>
      </c>
      <c r="M34" s="59">
        <f t="shared" si="2"/>
        <v>11</v>
      </c>
      <c r="N34" s="59">
        <f t="shared" si="2"/>
        <v>12</v>
      </c>
      <c r="O34" s="59">
        <f t="shared" si="2"/>
        <v>13</v>
      </c>
      <c r="P34" s="59">
        <f t="shared" si="2"/>
        <v>14</v>
      </c>
      <c r="Q34" s="59">
        <f t="shared" si="2"/>
        <v>15</v>
      </c>
      <c r="R34" s="59">
        <f t="shared" si="2"/>
        <v>16</v>
      </c>
      <c r="S34" s="59">
        <v>17</v>
      </c>
      <c r="T34" s="59">
        <v>18</v>
      </c>
      <c r="U34" s="60"/>
      <c r="V34" s="46"/>
      <c r="W34" s="59">
        <v>1</v>
      </c>
      <c r="X34" s="59">
        <f t="shared" ref="X34:AL34" si="3">W34+1</f>
        <v>2</v>
      </c>
      <c r="Y34" s="59">
        <f t="shared" si="3"/>
        <v>3</v>
      </c>
      <c r="Z34" s="59">
        <f t="shared" si="3"/>
        <v>4</v>
      </c>
      <c r="AA34" s="59">
        <f t="shared" si="3"/>
        <v>5</v>
      </c>
      <c r="AB34" s="59">
        <f t="shared" si="3"/>
        <v>6</v>
      </c>
      <c r="AC34" s="59">
        <f t="shared" si="3"/>
        <v>7</v>
      </c>
      <c r="AD34" s="59">
        <f t="shared" si="3"/>
        <v>8</v>
      </c>
      <c r="AE34" s="59">
        <f t="shared" si="3"/>
        <v>9</v>
      </c>
      <c r="AF34" s="59">
        <f t="shared" si="3"/>
        <v>10</v>
      </c>
      <c r="AG34" s="59">
        <f t="shared" si="3"/>
        <v>11</v>
      </c>
      <c r="AH34" s="59">
        <f t="shared" si="3"/>
        <v>12</v>
      </c>
      <c r="AI34" s="59">
        <f t="shared" si="3"/>
        <v>13</v>
      </c>
      <c r="AJ34" s="59">
        <f t="shared" si="3"/>
        <v>14</v>
      </c>
      <c r="AK34" s="59">
        <f t="shared" si="3"/>
        <v>15</v>
      </c>
      <c r="AL34" s="59">
        <f t="shared" si="3"/>
        <v>16</v>
      </c>
      <c r="AM34" s="59">
        <v>17</v>
      </c>
      <c r="AN34" s="59">
        <v>18</v>
      </c>
      <c r="AO34" s="60"/>
      <c r="AP34" s="40"/>
    </row>
    <row r="35" spans="2:42" ht="14.25" customHeight="1">
      <c r="B35" s="38"/>
      <c r="C35" s="126" t="s">
        <v>66</v>
      </c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8"/>
      <c r="V35" s="46"/>
      <c r="W35" s="126" t="s">
        <v>67</v>
      </c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8"/>
      <c r="AP35" s="40"/>
    </row>
    <row r="36" spans="2:42" ht="14.25" customHeight="1">
      <c r="B36" s="38"/>
      <c r="C36" s="99">
        <v>17</v>
      </c>
      <c r="D36" s="100">
        <v>17</v>
      </c>
      <c r="E36" s="100">
        <v>17</v>
      </c>
      <c r="F36" s="100">
        <v>17</v>
      </c>
      <c r="G36" s="100">
        <v>18</v>
      </c>
      <c r="H36" s="100">
        <v>18</v>
      </c>
      <c r="I36" s="100">
        <v>18</v>
      </c>
      <c r="J36" s="100">
        <v>18</v>
      </c>
      <c r="K36" s="100">
        <v>19</v>
      </c>
      <c r="L36" s="100">
        <v>19</v>
      </c>
      <c r="M36" s="100">
        <v>19</v>
      </c>
      <c r="N36" s="100">
        <v>19</v>
      </c>
      <c r="O36" s="100">
        <v>20</v>
      </c>
      <c r="P36" s="100">
        <v>20</v>
      </c>
      <c r="Q36" s="100">
        <v>20</v>
      </c>
      <c r="R36" s="100">
        <v>20</v>
      </c>
      <c r="S36" s="100">
        <v>29</v>
      </c>
      <c r="T36" s="100">
        <v>35</v>
      </c>
      <c r="U36" s="101"/>
      <c r="V36" s="46"/>
      <c r="W36" s="99">
        <v>21</v>
      </c>
      <c r="X36" s="100">
        <v>21</v>
      </c>
      <c r="Y36" s="100">
        <v>21</v>
      </c>
      <c r="Z36" s="100">
        <v>21</v>
      </c>
      <c r="AA36" s="100">
        <v>22</v>
      </c>
      <c r="AB36" s="100">
        <v>22</v>
      </c>
      <c r="AC36" s="100">
        <v>22</v>
      </c>
      <c r="AD36" s="100">
        <v>22</v>
      </c>
      <c r="AE36" s="100">
        <v>23</v>
      </c>
      <c r="AF36" s="100">
        <v>23</v>
      </c>
      <c r="AG36" s="100">
        <v>23</v>
      </c>
      <c r="AH36" s="100">
        <v>23</v>
      </c>
      <c r="AI36" s="100">
        <v>24</v>
      </c>
      <c r="AJ36" s="100">
        <v>24</v>
      </c>
      <c r="AK36" s="100">
        <v>24</v>
      </c>
      <c r="AL36" s="100">
        <v>24</v>
      </c>
      <c r="AM36" s="100">
        <v>30</v>
      </c>
      <c r="AN36" s="100">
        <v>36</v>
      </c>
      <c r="AO36" s="101"/>
      <c r="AP36" s="40"/>
    </row>
    <row r="37" spans="2:42" ht="14.25" customHeight="1">
      <c r="B37" s="38"/>
      <c r="C37" s="102" t="s">
        <v>53</v>
      </c>
      <c r="D37" s="103"/>
      <c r="E37" s="103"/>
      <c r="F37" s="103"/>
      <c r="G37" s="103" t="s">
        <v>55</v>
      </c>
      <c r="H37" s="103"/>
      <c r="I37" s="103"/>
      <c r="J37" s="103"/>
      <c r="K37" s="103" t="s">
        <v>53</v>
      </c>
      <c r="L37" s="103"/>
      <c r="M37" s="103"/>
      <c r="N37" s="103"/>
      <c r="O37" s="103" t="s">
        <v>55</v>
      </c>
      <c r="P37" s="103"/>
      <c r="Q37" s="103"/>
      <c r="R37" s="103"/>
      <c r="S37" s="103"/>
      <c r="T37" s="103"/>
      <c r="U37" s="104"/>
      <c r="V37" s="46"/>
      <c r="W37" s="102" t="s">
        <v>53</v>
      </c>
      <c r="X37" s="103"/>
      <c r="Y37" s="103"/>
      <c r="Z37" s="103"/>
      <c r="AA37" s="103" t="s">
        <v>55</v>
      </c>
      <c r="AB37" s="103"/>
      <c r="AC37" s="103"/>
      <c r="AD37" s="103"/>
      <c r="AE37" s="103" t="s">
        <v>53</v>
      </c>
      <c r="AF37" s="103"/>
      <c r="AG37" s="103"/>
      <c r="AH37" s="103"/>
      <c r="AI37" s="103" t="s">
        <v>55</v>
      </c>
      <c r="AJ37" s="103"/>
      <c r="AK37" s="103"/>
      <c r="AL37" s="103"/>
      <c r="AM37" s="103"/>
      <c r="AN37" s="103"/>
      <c r="AO37" s="104"/>
      <c r="AP37" s="40"/>
    </row>
    <row r="38" spans="2:42" ht="14.25" customHeight="1">
      <c r="B38" s="38"/>
      <c r="C38" s="102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4"/>
      <c r="V38" s="46"/>
      <c r="W38" s="102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4"/>
      <c r="AP38" s="40"/>
    </row>
    <row r="39" spans="2:42" ht="14.25" customHeight="1">
      <c r="B39" s="38"/>
      <c r="C39" s="102" t="s">
        <v>56</v>
      </c>
      <c r="D39" s="103" t="s">
        <v>56</v>
      </c>
      <c r="E39" s="103" t="s">
        <v>56</v>
      </c>
      <c r="F39" s="103" t="s">
        <v>56</v>
      </c>
      <c r="G39" s="103" t="s">
        <v>56</v>
      </c>
      <c r="H39" s="103" t="s">
        <v>56</v>
      </c>
      <c r="I39" s="103" t="s">
        <v>56</v>
      </c>
      <c r="J39" s="103" t="s">
        <v>56</v>
      </c>
      <c r="K39" s="103" t="s">
        <v>56</v>
      </c>
      <c r="L39" s="103" t="s">
        <v>56</v>
      </c>
      <c r="M39" s="103" t="s">
        <v>56</v>
      </c>
      <c r="N39" s="103" t="s">
        <v>56</v>
      </c>
      <c r="O39" s="103" t="s">
        <v>56</v>
      </c>
      <c r="P39" s="103" t="s">
        <v>56</v>
      </c>
      <c r="Q39" s="103" t="s">
        <v>56</v>
      </c>
      <c r="R39" s="103" t="s">
        <v>56</v>
      </c>
      <c r="S39" s="103" t="s">
        <v>48</v>
      </c>
      <c r="T39" s="103" t="s">
        <v>48</v>
      </c>
      <c r="U39" s="104"/>
      <c r="V39" s="46"/>
      <c r="W39" s="102" t="s">
        <v>56</v>
      </c>
      <c r="X39" s="103" t="s">
        <v>56</v>
      </c>
      <c r="Y39" s="103" t="s">
        <v>56</v>
      </c>
      <c r="Z39" s="103" t="s">
        <v>56</v>
      </c>
      <c r="AA39" s="103" t="s">
        <v>56</v>
      </c>
      <c r="AB39" s="103" t="s">
        <v>56</v>
      </c>
      <c r="AC39" s="103" t="s">
        <v>56</v>
      </c>
      <c r="AD39" s="103" t="s">
        <v>56</v>
      </c>
      <c r="AE39" s="103" t="s">
        <v>56</v>
      </c>
      <c r="AF39" s="103" t="s">
        <v>56</v>
      </c>
      <c r="AG39" s="103" t="s">
        <v>56</v>
      </c>
      <c r="AH39" s="103" t="s">
        <v>56</v>
      </c>
      <c r="AI39" s="103" t="s">
        <v>56</v>
      </c>
      <c r="AJ39" s="103" t="s">
        <v>56</v>
      </c>
      <c r="AK39" s="103" t="s">
        <v>56</v>
      </c>
      <c r="AL39" s="103" t="s">
        <v>56</v>
      </c>
      <c r="AM39" s="103" t="s">
        <v>48</v>
      </c>
      <c r="AN39" s="103" t="s">
        <v>48</v>
      </c>
      <c r="AO39" s="104"/>
      <c r="AP39" s="40"/>
    </row>
    <row r="40" spans="2:42" ht="14.25" customHeight="1" thickBot="1">
      <c r="B40" s="38"/>
      <c r="C40" s="105" t="s">
        <v>57</v>
      </c>
      <c r="D40" s="106" t="s">
        <v>57</v>
      </c>
      <c r="E40" s="106" t="s">
        <v>57</v>
      </c>
      <c r="F40" s="106" t="s">
        <v>57</v>
      </c>
      <c r="G40" s="106" t="s">
        <v>57</v>
      </c>
      <c r="H40" s="106" t="s">
        <v>57</v>
      </c>
      <c r="I40" s="106" t="s">
        <v>57</v>
      </c>
      <c r="J40" s="106" t="s">
        <v>57</v>
      </c>
      <c r="K40" s="106" t="s">
        <v>57</v>
      </c>
      <c r="L40" s="106" t="s">
        <v>57</v>
      </c>
      <c r="M40" s="106" t="s">
        <v>57</v>
      </c>
      <c r="N40" s="106" t="s">
        <v>57</v>
      </c>
      <c r="O40" s="106" t="s">
        <v>57</v>
      </c>
      <c r="P40" s="106" t="s">
        <v>57</v>
      </c>
      <c r="Q40" s="106" t="s">
        <v>57</v>
      </c>
      <c r="R40" s="106" t="s">
        <v>57</v>
      </c>
      <c r="S40" s="106">
        <v>16</v>
      </c>
      <c r="T40" s="106">
        <v>16</v>
      </c>
      <c r="U40" s="107"/>
      <c r="V40" s="46"/>
      <c r="W40" s="105" t="s">
        <v>57</v>
      </c>
      <c r="X40" s="106" t="s">
        <v>57</v>
      </c>
      <c r="Y40" s="106" t="s">
        <v>57</v>
      </c>
      <c r="Z40" s="106" t="s">
        <v>57</v>
      </c>
      <c r="AA40" s="106" t="s">
        <v>57</v>
      </c>
      <c r="AB40" s="106" t="s">
        <v>57</v>
      </c>
      <c r="AC40" s="106" t="s">
        <v>57</v>
      </c>
      <c r="AD40" s="106" t="s">
        <v>57</v>
      </c>
      <c r="AE40" s="106" t="s">
        <v>57</v>
      </c>
      <c r="AF40" s="106" t="s">
        <v>57</v>
      </c>
      <c r="AG40" s="106" t="s">
        <v>57</v>
      </c>
      <c r="AH40" s="106" t="s">
        <v>57</v>
      </c>
      <c r="AI40" s="106" t="s">
        <v>57</v>
      </c>
      <c r="AJ40" s="106" t="s">
        <v>57</v>
      </c>
      <c r="AK40" s="106" t="s">
        <v>57</v>
      </c>
      <c r="AL40" s="106" t="s">
        <v>57</v>
      </c>
      <c r="AM40" s="106">
        <v>16</v>
      </c>
      <c r="AN40" s="106">
        <v>16</v>
      </c>
      <c r="AO40" s="107"/>
      <c r="AP40" s="40"/>
    </row>
    <row r="41" spans="2:42" ht="14.25" customHeight="1">
      <c r="B41" s="38"/>
      <c r="C41" s="59">
        <v>1</v>
      </c>
      <c r="D41" s="59">
        <f t="shared" ref="D41:R41" si="4">C41+1</f>
        <v>2</v>
      </c>
      <c r="E41" s="59">
        <f t="shared" si="4"/>
        <v>3</v>
      </c>
      <c r="F41" s="59">
        <f t="shared" si="4"/>
        <v>4</v>
      </c>
      <c r="G41" s="59">
        <f t="shared" si="4"/>
        <v>5</v>
      </c>
      <c r="H41" s="59">
        <f t="shared" si="4"/>
        <v>6</v>
      </c>
      <c r="I41" s="59">
        <f t="shared" si="4"/>
        <v>7</v>
      </c>
      <c r="J41" s="59">
        <f t="shared" si="4"/>
        <v>8</v>
      </c>
      <c r="K41" s="59">
        <f t="shared" si="4"/>
        <v>9</v>
      </c>
      <c r="L41" s="59">
        <f t="shared" si="4"/>
        <v>10</v>
      </c>
      <c r="M41" s="59">
        <f t="shared" si="4"/>
        <v>11</v>
      </c>
      <c r="N41" s="59">
        <f t="shared" si="4"/>
        <v>12</v>
      </c>
      <c r="O41" s="59">
        <f t="shared" si="4"/>
        <v>13</v>
      </c>
      <c r="P41" s="59">
        <f t="shared" si="4"/>
        <v>14</v>
      </c>
      <c r="Q41" s="59">
        <f t="shared" si="4"/>
        <v>15</v>
      </c>
      <c r="R41" s="59">
        <f t="shared" si="4"/>
        <v>16</v>
      </c>
      <c r="S41" s="77">
        <v>17</v>
      </c>
      <c r="T41" s="77">
        <v>18</v>
      </c>
      <c r="U41" s="39"/>
      <c r="V41" s="39"/>
      <c r="W41" s="59">
        <v>1</v>
      </c>
      <c r="X41" s="59">
        <f t="shared" ref="X41:AL41" si="5">W41+1</f>
        <v>2</v>
      </c>
      <c r="Y41" s="59">
        <f t="shared" si="5"/>
        <v>3</v>
      </c>
      <c r="Z41" s="59">
        <f t="shared" si="5"/>
        <v>4</v>
      </c>
      <c r="AA41" s="59">
        <f t="shared" si="5"/>
        <v>5</v>
      </c>
      <c r="AB41" s="59">
        <f t="shared" si="5"/>
        <v>6</v>
      </c>
      <c r="AC41" s="59">
        <f t="shared" si="5"/>
        <v>7</v>
      </c>
      <c r="AD41" s="59">
        <f t="shared" si="5"/>
        <v>8</v>
      </c>
      <c r="AE41" s="59">
        <f t="shared" si="5"/>
        <v>9</v>
      </c>
      <c r="AF41" s="59">
        <f t="shared" si="5"/>
        <v>10</v>
      </c>
      <c r="AG41" s="59">
        <f t="shared" si="5"/>
        <v>11</v>
      </c>
      <c r="AH41" s="59">
        <f t="shared" si="5"/>
        <v>12</v>
      </c>
      <c r="AI41" s="59">
        <f t="shared" si="5"/>
        <v>13</v>
      </c>
      <c r="AJ41" s="59">
        <f t="shared" si="5"/>
        <v>14</v>
      </c>
      <c r="AK41" s="59">
        <f t="shared" si="5"/>
        <v>15</v>
      </c>
      <c r="AL41" s="59">
        <f t="shared" si="5"/>
        <v>16</v>
      </c>
      <c r="AM41" s="77">
        <v>17</v>
      </c>
      <c r="AN41" s="77">
        <v>18</v>
      </c>
      <c r="AO41" s="39"/>
      <c r="AP41" s="40"/>
    </row>
    <row r="42" spans="2:42" ht="14.25" customHeight="1" thickBot="1">
      <c r="B42" s="78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80"/>
      <c r="T42" s="80"/>
      <c r="U42" s="80"/>
      <c r="V42" s="80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80"/>
      <c r="AN42" s="80"/>
      <c r="AO42" s="80"/>
      <c r="AP42" s="81"/>
    </row>
    <row r="44" spans="2:42" ht="14.25" customHeight="1">
      <c r="C44" s="120" t="s">
        <v>68</v>
      </c>
      <c r="D44" s="121"/>
      <c r="E44" s="121"/>
      <c r="F44" s="122"/>
    </row>
    <row r="46" spans="2:42" ht="14.25" customHeight="1">
      <c r="C46" s="123" t="s">
        <v>69</v>
      </c>
      <c r="D46" s="124"/>
      <c r="E46" s="124"/>
      <c r="F46" s="125"/>
    </row>
  </sheetData>
  <sheetProtection password="B6E0" sheet="1" objects="1" scenarios="1"/>
  <mergeCells count="16">
    <mergeCell ref="B1:AP4"/>
    <mergeCell ref="B5:AP5"/>
    <mergeCell ref="B6:AP7"/>
    <mergeCell ref="B8:AP8"/>
    <mergeCell ref="C10:H10"/>
    <mergeCell ref="M10:U10"/>
    <mergeCell ref="W10:AE10"/>
    <mergeCell ref="AG10:AO10"/>
    <mergeCell ref="C44:F44"/>
    <mergeCell ref="C46:F46"/>
    <mergeCell ref="C17:U17"/>
    <mergeCell ref="W17:AO17"/>
    <mergeCell ref="C28:U28"/>
    <mergeCell ref="W28:AO28"/>
    <mergeCell ref="C35:U35"/>
    <mergeCell ref="W35:AO35"/>
  </mergeCells>
  <pageMargins left="0.75" right="0.75" top="1" bottom="1" header="0.5" footer="0.5"/>
  <pageSetup paperSize="9" orientation="landscape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Creating TCSM Configuration</vt:lpstr>
      <vt:lpstr>Creating TCSM3i HW</vt:lpstr>
      <vt:lpstr>Deleting TCSM3i HW</vt:lpstr>
      <vt:lpstr>TCSM3i BayFace</vt:lpstr>
    </vt:vector>
  </TitlesOfParts>
  <Company>Álvaro Raúl Mendoza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Álvaro R. Mendoza</dc:creator>
  <cp:lastModifiedBy>Alvaro</cp:lastModifiedBy>
  <dcterms:created xsi:type="dcterms:W3CDTF">2009-09-03T15:39:25Z</dcterms:created>
  <dcterms:modified xsi:type="dcterms:W3CDTF">2013-05-27T16:19:20Z</dcterms:modified>
</cp:coreProperties>
</file>